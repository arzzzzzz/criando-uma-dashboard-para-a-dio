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su\Desktop\"/>
    </mc:Choice>
  </mc:AlternateContent>
  <xr:revisionPtr revIDLastSave="0" documentId="13_ncr:1_{7B660F87-9299-4E95-8292-90F7B879DEA8}" xr6:coauthVersionLast="47" xr6:coauthVersionMax="47" xr10:uidLastSave="{00000000-0000-0000-0000-000000000000}"/>
  <bookViews>
    <workbookView xWindow="-120" yWindow="-120" windowWidth="29040" windowHeight="15840" firstSheet="3" activeTab="3" xr2:uid="{CDDD3BD7-2A48-433F-AC42-E6B545F1952C}"/>
  </bookViews>
  <sheets>
    <sheet name="Assets" sheetId="1" state="hidden" r:id="rId1"/>
    <sheet name="Base" sheetId="2" state="hidden" r:id="rId2"/>
    <sheet name="Calculo" sheetId="3" state="hidden" r:id="rId3"/>
    <sheet name="Dashboard" sheetId="4" r:id="rId4"/>
  </sheets>
  <definedNames>
    <definedName name="_xlnm._FilterDatabase" localSheetId="1" hidden="1">Base!$A$1:$M$100</definedName>
    <definedName name="SegmentaçãodeDados_Subscription_Type">#N/A</definedName>
  </definedNames>
  <calcPr calcId="181029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4" i="3" l="1"/>
  <c r="I32" i="3"/>
</calcChain>
</file>

<file path=xl/sharedStrings.xml><?xml version="1.0" encoding="utf-8"?>
<sst xmlns="http://schemas.openxmlformats.org/spreadsheetml/2006/main" count="627" uniqueCount="125">
  <si>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</si>
  <si>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</si>
  <si>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</si>
  <si>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</si>
  <si>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</si>
  <si>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</si>
  <si>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</si>
  <si>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</si>
  <si>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</si>
  <si>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</si>
  <si>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</si>
  <si>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</si>
  <si>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</si>
  <si>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</si>
  <si>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</si>
  <si>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</si>
  <si>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</si>
  <si>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Ana Souza</t>
  </si>
  <si>
    <t>No</t>
  </si>
  <si>
    <t>Camila Ribeiro</t>
  </si>
  <si>
    <t>Quarterly</t>
  </si>
  <si>
    <t>Sofia Almeida</t>
  </si>
  <si>
    <t>Marco Túlio</t>
  </si>
  <si>
    <t>Annual</t>
  </si>
  <si>
    <t>Fernanda Lima</t>
  </si>
  <si>
    <t>Cesar Oliveira</t>
  </si>
  <si>
    <t>Gabriela Santos</t>
  </si>
  <si>
    <t>Joaquim Barbosa</t>
  </si>
  <si>
    <t>Nicole Costa</t>
  </si>
  <si>
    <t>Raquel Alves</t>
  </si>
  <si>
    <t>Vinicius Lima</t>
  </si>
  <si>
    <t>Bruno Cavalheiro</t>
  </si>
  <si>
    <t>Eunice Lima</t>
  </si>
  <si>
    <t>Hélio Castro</t>
  </si>
  <si>
    <t>Kléber Oliveira</t>
  </si>
  <si>
    <t>Nilo Peçanha</t>
  </si>
  <si>
    <t>Quirino Gonçalves</t>
  </si>
  <si>
    <t>Tiago Ramos</t>
  </si>
  <si>
    <t>William Siqueira</t>
  </si>
  <si>
    <t>Zacarias Alves</t>
  </si>
  <si>
    <t>Carla Bruni</t>
  </si>
  <si>
    <t>Fábio Nobre</t>
  </si>
  <si>
    <t>Ivan Carvalho</t>
  </si>
  <si>
    <t>Lucas Mendes</t>
  </si>
  <si>
    <t>Otávio Barros</t>
  </si>
  <si>
    <t>Raquel Novaes</t>
  </si>
  <si>
    <t>Ulysses Guimarães</t>
  </si>
  <si>
    <t>Ximena Rocha</t>
  </si>
  <si>
    <t>Alan Teixeira</t>
  </si>
  <si>
    <t>Daniela Moura</t>
  </si>
  <si>
    <t>Geraldo Ribeiro</t>
  </si>
  <si>
    <t>João Pedro Almeida</t>
  </si>
  <si>
    <t>Marcelo Gouveia</t>
  </si>
  <si>
    <t>Patrícia Alves</t>
  </si>
  <si>
    <t>Ulisses Tavares</t>
  </si>
  <si>
    <t>Xavier Nascimento</t>
  </si>
  <si>
    <t>Amanda Lopes</t>
  </si>
  <si>
    <t>Diogo Souza</t>
  </si>
  <si>
    <t>João Marcelo</t>
  </si>
  <si>
    <t>Nadia Costa</t>
  </si>
  <si>
    <t>Quênia Barros</t>
  </si>
  <si>
    <t>Tiago Mendes</t>
  </si>
  <si>
    <t>Waldir Junior</t>
  </si>
  <si>
    <t>Zacarias Nunes</t>
  </si>
  <si>
    <t>Carlos Eduardo</t>
  </si>
  <si>
    <t>Fabiano Gomes</t>
  </si>
  <si>
    <t>Igor Martins</t>
  </si>
  <si>
    <t>Luciana Santos</t>
  </si>
  <si>
    <t>Oscar Ribeiro</t>
  </si>
  <si>
    <t>Renata Machado</t>
  </si>
  <si>
    <t>Ulysses Pereira</t>
  </si>
  <si>
    <t>Xuxa Meneghel</t>
  </si>
  <si>
    <t>André Lima</t>
  </si>
  <si>
    <t>Guilherme Souza</t>
  </si>
  <si>
    <t>João Carvalho</t>
  </si>
  <si>
    <t>Nina Pacheco</t>
  </si>
  <si>
    <t>Raquel Domingos</t>
  </si>
  <si>
    <t>Ulysses Farias</t>
  </si>
  <si>
    <t>Ximena Barros</t>
  </si>
  <si>
    <t>André Lopes</t>
  </si>
  <si>
    <t>Daniela Araújo</t>
  </si>
  <si>
    <t>Gabriel Teixeira</t>
  </si>
  <si>
    <t>Joana Silveira</t>
  </si>
  <si>
    <t>Nicolas Borges</t>
  </si>
  <si>
    <t>Raquel Andrade</t>
  </si>
  <si>
    <t>Ursula Monteiro</t>
  </si>
  <si>
    <t>Xavier Almeida</t>
  </si>
  <si>
    <t>Amanda Costa</t>
  </si>
  <si>
    <t>Diogo Martins</t>
  </si>
  <si>
    <t>Gabriel Santos</t>
  </si>
  <si>
    <t>Marcos Vinícius</t>
  </si>
  <si>
    <t>Patrícia Leite</t>
  </si>
  <si>
    <t>Sandra Gouveia</t>
  </si>
  <si>
    <t>Vanessa Andrade</t>
  </si>
  <si>
    <t>Yasmin Figueira</t>
  </si>
  <si>
    <t>Bruno Santos</t>
  </si>
  <si>
    <t>Elisa Neves</t>
  </si>
  <si>
    <t>Hélio Costa</t>
  </si>
  <si>
    <t>Klara Silva</t>
  </si>
  <si>
    <t>Natália Soares</t>
  </si>
  <si>
    <t>Quirino Neto</t>
  </si>
  <si>
    <t>Sandro Almeida</t>
  </si>
  <si>
    <t>Valéria Lima</t>
  </si>
  <si>
    <t>Ygor Farias</t>
  </si>
  <si>
    <t>Bruno Costa</t>
  </si>
  <si>
    <t>Elisa Correia</t>
  </si>
  <si>
    <t>Henrique Gonçalves</t>
  </si>
  <si>
    <t>Klara Fonseca</t>
  </si>
  <si>
    <t>Natália Castro</t>
  </si>
  <si>
    <t>Quentin Nogueira</t>
  </si>
  <si>
    <t>Tânia Machado</t>
  </si>
  <si>
    <t>William Carvalho</t>
  </si>
  <si>
    <t>Zacarias Duarte</t>
  </si>
  <si>
    <t>Carla Siqueira</t>
  </si>
  <si>
    <t>Rótulos de Linha</t>
  </si>
  <si>
    <t>Total Geral</t>
  </si>
  <si>
    <t>Pergunta de Negócio 1 - Total de Vendas de plano anuais (Todas as assinaturas agregadas)</t>
  </si>
  <si>
    <t>Pergunta de Negócio 2 - Total de Vendas de plano anuais (Sem renovação auto)</t>
  </si>
  <si>
    <t>Soma de Total Value</t>
  </si>
  <si>
    <t>XBOX GAME PASS SUBSCRIPTIONS SALES</t>
  </si>
  <si>
    <t>Pergunta de Negócio 3 - Total de Vendas de assinatura EA Play</t>
  </si>
  <si>
    <t>Soma de EA Play Season Pass2</t>
  </si>
  <si>
    <t>Pergunta de Negócio 4 - Total de Assinaturas Minecraft</t>
  </si>
  <si>
    <t>Soma de Minecraft Season Pass Price</t>
  </si>
  <si>
    <t>Calculation period: 14/10/2026 - 16/10/2026 : Update: 16/10/2026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</si>
</sst>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b/>
      <sz val="15"/>
      <color rgb="FF22C55E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96B24"/>
        <bgColor rgb="FF196B24"/>
      </patternFill>
    </fill>
    <fill>
      <patternFill patternType="solid">
        <fgColor rgb="FFE8E6E9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5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8" fontId="3" fillId="0" borderId="0" xfId="0" applyNumberFormat="1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4" fillId="0" borderId="2" xfId="1" applyFont="1" applyBorder="1"/>
    <xf numFmtId="0" fontId="1" fillId="0" borderId="2" xfId="1" applyBorder="1"/>
    <xf numFmtId="0" fontId="2" fillId="2" borderId="0" xfId="0" applyFont="1" applyFill="1" applyAlignment="1">
      <alignment horizontal="center" vertical="center" wrapText="1"/>
    </xf>
    <xf numFmtId="0" fontId="0" fillId="5" borderId="0" xfId="0" applyFill="1" applyBorder="1"/>
    <xf numFmtId="0" fontId="0" fillId="0" borderId="0" xfId="0" applyNumberFormat="1"/>
    <xf numFmtId="164" fontId="6" fillId="0" borderId="0" xfId="0" applyNumberFormat="1" applyFont="1"/>
    <xf numFmtId="164" fontId="0" fillId="0" borderId="0" xfId="2" applyNumberFormat="1" applyFont="1"/>
    <xf numFmtId="0" fontId="0" fillId="0" borderId="2" xfId="0" applyBorder="1"/>
  </cellXfs>
  <cellStyles count="3">
    <cellStyle name="Moeda" xfId="2" builtinId="4"/>
    <cellStyle name="Normal" xfId="0" builtinId="0"/>
    <cellStyle name="Título 1" xfId="1" builtinId="16"/>
  </cellStyles>
  <dxfs count="6">
    <dxf>
      <font>
        <b/>
        <i val="0"/>
        <u val="none"/>
        <color theme="0"/>
        <name val="Segoe UI"/>
        <family val="2"/>
        <scheme val="none"/>
      </font>
      <border>
        <bottom style="thin">
          <color theme="9"/>
        </bottom>
        <vertical/>
        <horizontal/>
      </border>
    </dxf>
    <dxf>
      <font>
        <b val="0"/>
        <i val="0"/>
        <u val="none"/>
        <color theme="0"/>
        <name val="Segoe UI"/>
        <family val="2"/>
        <scheme val="none"/>
      </font>
      <fill>
        <patternFill>
          <bgColor rgb="FF22C55E"/>
        </patternFill>
      </fill>
      <border>
        <left/>
        <right/>
        <top/>
        <bottom/>
        <vertical/>
        <horizontal/>
      </border>
    </dxf>
    <dxf>
      <border>
        <top style="thin">
          <color auto="1"/>
        </top>
        <bottom style="thin">
          <color auto="1"/>
        </bottom>
      </border>
    </dxf>
    <dxf>
      <fill>
        <patternFill>
          <bgColor rgb="FF22C55E"/>
        </patternFill>
      </fill>
    </dxf>
    <dxf>
      <fill>
        <patternFill>
          <fgColor rgb="FF22C55E"/>
        </patternFill>
      </fill>
    </dxf>
    <dxf>
      <font>
        <color rgb="FF22C55E"/>
      </font>
      <fill>
        <patternFill>
          <bgColor rgb="FF22C55E"/>
        </patternFill>
      </fill>
    </dxf>
  </dxfs>
  <tableStyles count="5" defaultTableStyle="TableStyleMedium2" defaultPivotStyle="PivotStyleLight16">
    <tableStyle name="Estilo de Segmentação de Dados 1" pivot="0" table="0" count="1" xr9:uid="{1CD80328-BC6F-49B8-9148-53CE0DDC2039}">
      <tableStyleElement type="wholeTable" dxfId="5"/>
    </tableStyle>
    <tableStyle name="Estilo de Segmentação de Dados 2" pivot="0" table="0" count="1" xr9:uid="{2030AB49-EDEC-4F0E-987E-7A6130087701}">
      <tableStyleElement type="wholeTable" dxfId="4"/>
    </tableStyle>
    <tableStyle name="Estilo de Segmentação de Dados 3" pivot="0" table="0" count="1" xr9:uid="{4EE6879E-873B-45EF-BE20-8FCE1498051E}">
      <tableStyleElement type="wholeTable" dxfId="3"/>
    </tableStyle>
    <tableStyle name="Estilo de Segmentação de Dados 4" pivot="0" table="0" count="1" xr9:uid="{3A6433A2-1373-4797-83FB-B8438A1F4E85}">
      <tableStyleElement type="wholeTable" dxfId="2"/>
    </tableStyle>
    <tableStyle name="SlicerStyleLight6 2" pivot="0" table="0" count="10" xr9:uid="{362F52E5-5506-44BD-8EE9-BC1DF9B37393}">
      <tableStyleElement type="wholeTable" dxfId="1"/>
      <tableStyleElement type="headerRow" dxfId="0"/>
    </tableStyle>
  </tableStyles>
  <colors>
    <mruColors>
      <color rgb="FF22C55E"/>
      <color rgb="FFE8E6E9"/>
      <color rgb="FF2AE6B1"/>
      <color rgb="FF5BF6A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  <name val="Segoe UI"/>
            <family val="2"/>
            <scheme val="none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/>
        <x14:slicerStyle name="Estilo de Segmentação de Dados 4"/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[Dashboard.xlsx]Calculo!tbl_annual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2741251093613303"/>
          <c:y val="0.24939596092155147"/>
          <c:w val="0.5392541557305337"/>
          <c:h val="0.685789224263633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Calculo!$B$6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Calculo!$A$7:$A$9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Calculo!$B$7:$B$9</c:f>
              <c:numCache>
                <c:formatCode>"R$"\ #,##0.00</c:formatCode>
                <c:ptCount val="2"/>
                <c:pt idx="0">
                  <c:v>122</c:v>
                </c:pt>
                <c:pt idx="1">
                  <c:v>1064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C3-4AA5-9E4C-02B839D76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7399600"/>
        <c:axId val="617405720"/>
      </c:barChart>
      <c:catAx>
        <c:axId val="617399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7405720"/>
        <c:crosses val="autoZero"/>
        <c:auto val="1"/>
        <c:lblAlgn val="ctr"/>
        <c:lblOffset val="100"/>
        <c:noMultiLvlLbl val="0"/>
      </c:catAx>
      <c:valAx>
        <c:axId val="617405720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61739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[Dashboard.xlsx]Calculo!tbl_annual</c:name>
    <c:fmtId val="6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ln>
                    <a:solidFill>
                      <a:schemeClr val="accent1">
                        <a:shade val="15000"/>
                        <a:alpha val="25000"/>
                      </a:schemeClr>
                    </a:solidFill>
                  </a:ln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241251093613303"/>
          <c:y val="6.4210775736366271E-2"/>
          <c:w val="0.6281430446194225"/>
          <c:h val="0.8200484835228929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Calculo!$B$6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ln>
                      <a:solidFill>
                        <a:schemeClr val="accent1">
                          <a:shade val="15000"/>
                          <a:alpha val="25000"/>
                        </a:schemeClr>
                      </a:solidFill>
                    </a:ln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Calculo!$A$7:$A$9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Calculo!$B$7:$B$9</c:f>
              <c:numCache>
                <c:formatCode>"R$"\ #,##0.00</c:formatCode>
                <c:ptCount val="2"/>
                <c:pt idx="0">
                  <c:v>122</c:v>
                </c:pt>
                <c:pt idx="1">
                  <c:v>1064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C-4619-BF9C-C71C05998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7399600"/>
        <c:axId val="617405720"/>
      </c:barChart>
      <c:catAx>
        <c:axId val="617399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7405720"/>
        <c:crosses val="autoZero"/>
        <c:auto val="1"/>
        <c:lblAlgn val="ctr"/>
        <c:lblOffset val="100"/>
        <c:noMultiLvlLbl val="0"/>
      </c:catAx>
      <c:valAx>
        <c:axId val="617405720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61739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295275</xdr:colOff>
      <xdr:row>14</xdr:row>
      <xdr:rowOff>28575</xdr:rowOff>
    </xdr:from>
    <xdr:to>
      <xdr:col>13</xdr:col>
      <xdr:colOff>581025</xdr:colOff>
      <xdr:row>16</xdr:row>
      <xdr:rowOff>104775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6879808-0429-1DE9-E09A-C3D04A136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0875" y="2695575"/>
          <a:ext cx="15049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10</xdr:col>
      <xdr:colOff>581025</xdr:colOff>
      <xdr:row>20</xdr:row>
      <xdr:rowOff>171450</xdr:rowOff>
    </xdr:from>
    <xdr:to>
      <xdr:col>15</xdr:col>
      <xdr:colOff>419100</xdr:colOff>
      <xdr:row>26</xdr:row>
      <xdr:rowOff>47625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E73229-C232-2AB8-B009-F5965E55B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3981450"/>
          <a:ext cx="28860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8</xdr:col>
      <xdr:colOff>0</xdr:colOff>
      <xdr:row>27</xdr:row>
      <xdr:rowOff>0</xdr:rowOff>
    </xdr:from>
    <xdr:to>
      <xdr:col>10</xdr:col>
      <xdr:colOff>0</xdr:colOff>
      <xdr:row>33</xdr:row>
      <xdr:rowOff>76200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5967E8F-5065-89BE-08F5-CA6208C47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14350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304800</xdr:colOff>
      <xdr:row>36</xdr:row>
      <xdr:rowOff>114300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27331D9F-A44D-4580-017E-3B19CD198A14}"/>
            </a:ext>
          </a:extLst>
        </xdr:cNvPr>
        <xdr:cNvSpPr>
          <a:spLocks noChangeAspect="1" noChangeArrowheads="1"/>
        </xdr:cNvSpPr>
      </xdr:nvSpPr>
      <xdr:spPr bwMode="auto">
        <a:xfrm>
          <a:off x="487680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304800</xdr:colOff>
      <xdr:row>31</xdr:row>
      <xdr:rowOff>114300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A36180A8-D1EF-4D78-88B4-A5F53C9CFAA1}"/>
            </a:ext>
          </a:extLst>
        </xdr:cNvPr>
        <xdr:cNvSpPr>
          <a:spLocks noChangeAspect="1" noChangeArrowheads="1"/>
        </xdr:cNvSpPr>
      </xdr:nvSpPr>
      <xdr:spPr bwMode="auto">
        <a:xfrm>
          <a:off x="426720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466725</xdr:colOff>
      <xdr:row>33</xdr:row>
      <xdr:rowOff>38100</xdr:rowOff>
    </xdr:from>
    <xdr:to>
      <xdr:col>12</xdr:col>
      <xdr:colOff>95250</xdr:colOff>
      <xdr:row>34</xdr:row>
      <xdr:rowOff>85725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BA894B4-BFBD-F0AE-A744-CF3467D18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325" y="63246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304800</xdr:colOff>
      <xdr:row>29</xdr:row>
      <xdr:rowOff>114300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DE722968-6C46-563E-1DEC-618AC24CF3A3}"/>
            </a:ext>
          </a:extLst>
        </xdr:cNvPr>
        <xdr:cNvSpPr>
          <a:spLocks noChangeAspect="1" noChangeArrowheads="1"/>
        </xdr:cNvSpPr>
      </xdr:nvSpPr>
      <xdr:spPr bwMode="auto">
        <a:xfrm>
          <a:off x="97536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80962</xdr:rowOff>
    </xdr:from>
    <xdr:to>
      <xdr:col>14</xdr:col>
      <xdr:colOff>352425</xdr:colOff>
      <xdr:row>17</xdr:row>
      <xdr:rowOff>157162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1C2C551-A208-B36C-139C-F113CE413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476250</xdr:colOff>
      <xdr:row>7</xdr:row>
      <xdr:rowOff>66675</xdr:rowOff>
    </xdr:from>
    <xdr:to>
      <xdr:col>19</xdr:col>
      <xdr:colOff>476250</xdr:colOff>
      <xdr:row>20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11203F58-0B7E-769D-2330-A9B481E1D1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01125" y="14001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714375</xdr:colOff>
      <xdr:row>2</xdr:row>
      <xdr:rowOff>0</xdr:rowOff>
    </xdr:from>
    <xdr:to>
      <xdr:col>0</xdr:col>
      <xdr:colOff>1190625</xdr:colOff>
      <xdr:row>4</xdr:row>
      <xdr:rowOff>66675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C477356-79C8-4758-854B-AC3E97D73F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8354"/>
        <a:stretch>
          <a:fillRect/>
        </a:stretch>
      </xdr:blipFill>
      <xdr:spPr bwMode="auto">
        <a:xfrm>
          <a:off x="714375" y="447675"/>
          <a:ext cx="4762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5</xdr:row>
      <xdr:rowOff>90488</xdr:rowOff>
    </xdr:from>
    <xdr:to>
      <xdr:col>0</xdr:col>
      <xdr:colOff>1914526</xdr:colOff>
      <xdr:row>18</xdr:row>
      <xdr:rowOff>138113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1C75A363-57F3-4E43-B7EA-A9F2328388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19188"/>
              <a:ext cx="1914526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2319337</xdr:colOff>
      <xdr:row>6</xdr:row>
      <xdr:rowOff>114300</xdr:rowOff>
    </xdr:from>
    <xdr:to>
      <xdr:col>4</xdr:col>
      <xdr:colOff>133350</xdr:colOff>
      <xdr:row>14</xdr:row>
      <xdr:rowOff>95250</xdr:rowOff>
    </xdr:to>
    <xdr:sp macro="" textlink="Calculo!S39">
      <xdr:nvSpPr>
        <xdr:cNvPr id="8" name="Retângulo: Cantos Arredondados 7">
          <a:extLst>
            <a:ext uri="{FF2B5EF4-FFF2-40B4-BE49-F238E27FC236}">
              <a16:creationId xmlns:a16="http://schemas.microsoft.com/office/drawing/2014/main" id="{93F9D496-C2D9-4D07-A449-ED4126F30925}"/>
            </a:ext>
          </a:extLst>
        </xdr:cNvPr>
        <xdr:cNvSpPr/>
      </xdr:nvSpPr>
      <xdr:spPr>
        <a:xfrm>
          <a:off x="4424362" y="1333500"/>
          <a:ext cx="2366963" cy="15049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C9B82C2-BF81-4FC5-AC64-FC872B86A133}" type="TxLink">
            <a:rPr lang="en-US" sz="3600" b="0" i="0" u="none" strike="noStrike" cap="none" spc="0">
              <a:ln>
                <a:noFill/>
              </a:ln>
              <a:solidFill>
                <a:srgbClr val="22C55E"/>
              </a:soli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  <a:reflection blurRad="6350" stA="0" endPos="50000" dist="60007" dir="5400000" sy="-100000" algn="bl" rotWithShape="0"/>
              </a:effectLst>
              <a:latin typeface="Segoe UI" panose="020B0502040204020203" pitchFamily="34" charset="0"/>
              <a:cs typeface="Segoe UI" panose="020B0502040204020203" pitchFamily="34" charset="0"/>
            </a:rPr>
            <a:pPr algn="ctr"/>
            <a:t> </a:t>
          </a:fld>
          <a:endParaRPr lang="pt-BR" sz="3600" b="0">
            <a:ln>
              <a:noFill/>
            </a:ln>
            <a:solidFill>
              <a:srgbClr val="22C55E"/>
            </a:solidFill>
            <a:effectLst>
              <a:outerShdw blurRad="50800" dist="38100" algn="l" rotWithShape="0">
                <a:prstClr val="black">
                  <a:alpha val="40000"/>
                </a:prstClr>
              </a:outerShdw>
              <a:reflection blurRad="6350" stA="0" endPos="50000" dist="60007" dir="5400000" sy="-100000" algn="bl" rotWithShape="0"/>
            </a:effectLst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214312</xdr:colOff>
      <xdr:row>5</xdr:row>
      <xdr:rowOff>95250</xdr:rowOff>
    </xdr:from>
    <xdr:to>
      <xdr:col>4</xdr:col>
      <xdr:colOff>138113</xdr:colOff>
      <xdr:row>15</xdr:row>
      <xdr:rowOff>171450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C7DED6FB-F9C5-FD00-A685-3DD5981B105E}"/>
            </a:ext>
          </a:extLst>
        </xdr:cNvPr>
        <xdr:cNvGrpSpPr/>
      </xdr:nvGrpSpPr>
      <xdr:grpSpPr>
        <a:xfrm>
          <a:off x="2319337" y="1123950"/>
          <a:ext cx="4476751" cy="1981200"/>
          <a:chOff x="2319337" y="1123950"/>
          <a:chExt cx="4476751" cy="1981200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C4816657-86A7-793A-C894-8D0AEBF2E5DC}"/>
              </a:ext>
            </a:extLst>
          </xdr:cNvPr>
          <xdr:cNvSpPr/>
        </xdr:nvSpPr>
        <xdr:spPr>
          <a:xfrm>
            <a:off x="2333625" y="1123950"/>
            <a:ext cx="4462463" cy="19812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effectLst>
                <a:reflection blurRad="6350" stA="0" endPos="85000" dist="60007" dir="5400000" sy="-100000" algn="bl" rotWithShape="0"/>
              </a:effectLst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BCA64F2A-1A84-448F-8A7E-F753558FF64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8906" b="34375"/>
          <a:stretch>
            <a:fillRect/>
          </a:stretch>
        </xdr:blipFill>
        <xdr:spPr bwMode="auto">
          <a:xfrm>
            <a:off x="2319337" y="1890713"/>
            <a:ext cx="1219200" cy="4476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10D208AF-40B6-9B1D-A828-E1C82ACB4DC9}"/>
              </a:ext>
            </a:extLst>
          </xdr:cNvPr>
          <xdr:cNvSpPr/>
        </xdr:nvSpPr>
        <xdr:spPr>
          <a:xfrm>
            <a:off x="2516981" y="1190625"/>
            <a:ext cx="4086225" cy="314325"/>
          </a:xfrm>
          <a:prstGeom prst="roundRect">
            <a:avLst>
              <a:gd name="adj" fmla="val 4394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SUBSCRIPTIONS EA PLAY</a:t>
            </a:r>
            <a:endParaRPr lang="pt-BR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alculo!I32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E9461B0C-5C80-AF72-7EF3-D55C6D3B8746}"/>
              </a:ext>
            </a:extLst>
          </xdr:cNvPr>
          <xdr:cNvSpPr/>
        </xdr:nvSpPr>
        <xdr:spPr>
          <a:xfrm>
            <a:off x="4048125" y="1862138"/>
            <a:ext cx="2747963" cy="50482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58B00AC-90AF-4F7D-A24F-2A32A8695BF1}" type="TxLink">
              <a:rPr lang="en-US" sz="36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R$ 600,00</a:t>
            </a:fld>
            <a:endParaRPr lang="en-US" sz="36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4</xdr:col>
      <xdr:colOff>600075</xdr:colOff>
      <xdr:row>5</xdr:row>
      <xdr:rowOff>95250</xdr:rowOff>
    </xdr:from>
    <xdr:to>
      <xdr:col>12</xdr:col>
      <xdr:colOff>185738</xdr:colOff>
      <xdr:row>15</xdr:row>
      <xdr:rowOff>171450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DF29461E-089C-9E60-27B7-F4C0B4483AC6}"/>
            </a:ext>
          </a:extLst>
        </xdr:cNvPr>
        <xdr:cNvGrpSpPr/>
      </xdr:nvGrpSpPr>
      <xdr:grpSpPr>
        <a:xfrm>
          <a:off x="7258050" y="1123950"/>
          <a:ext cx="4462463" cy="1981200"/>
          <a:chOff x="7258050" y="1123950"/>
          <a:chExt cx="4462463" cy="1981200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1EAC619F-DCE4-499A-A1EB-2E24D42C109E}"/>
              </a:ext>
            </a:extLst>
          </xdr:cNvPr>
          <xdr:cNvGrpSpPr/>
        </xdr:nvGrpSpPr>
        <xdr:grpSpPr>
          <a:xfrm>
            <a:off x="7258050" y="1123950"/>
            <a:ext cx="4462463" cy="1981200"/>
            <a:chOff x="2333625" y="1123950"/>
            <a:chExt cx="4462463" cy="1981200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5EFD93C0-1EA3-5C92-7478-9F3307C37C3C}"/>
                </a:ext>
              </a:extLst>
            </xdr:cNvPr>
            <xdr:cNvSpPr/>
          </xdr:nvSpPr>
          <xdr:spPr>
            <a:xfrm>
              <a:off x="2333625" y="1123950"/>
              <a:ext cx="4462463" cy="19812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effectLst>
                  <a:reflection blurRad="6350" stA="0" endPos="85000" dist="60007" dir="5400000" sy="-100000" algn="bl" rotWithShape="0"/>
                </a:effectLst>
              </a:endParaRPr>
            </a:p>
          </xdr:txBody>
        </xdr:sp>
        <xdr:sp macro="" textlink="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403F933B-24F0-2B16-848C-1849F050D64C}"/>
                </a:ext>
              </a:extLst>
            </xdr:cNvPr>
            <xdr:cNvSpPr/>
          </xdr:nvSpPr>
          <xdr:spPr>
            <a:xfrm>
              <a:off x="2516981" y="1190625"/>
              <a:ext cx="4086225" cy="314325"/>
            </a:xfrm>
            <a:prstGeom prst="roundRect">
              <a:avLst>
                <a:gd name="adj" fmla="val 4394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40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</a:t>
              </a:r>
            </a:p>
          </xdr:txBody>
        </xdr:sp>
        <xdr:sp macro="" textlink="Calculo!I44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38C2CAA2-BFF0-D711-9101-F3AD463C1D7C}"/>
                </a:ext>
              </a:extLst>
            </xdr:cNvPr>
            <xdr:cNvSpPr/>
          </xdr:nvSpPr>
          <xdr:spPr>
            <a:xfrm>
              <a:off x="4338638" y="1862138"/>
              <a:ext cx="2457450" cy="504825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/>
            </a:p>
          </xdr:txBody>
        </xdr:sp>
      </xdr:grpSp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B90161D7-7967-5405-0ED7-45AA859ED7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324725" y="1846065"/>
            <a:ext cx="1171575" cy="659011"/>
          </a:xfrm>
          <a:prstGeom prst="rect">
            <a:avLst/>
          </a:prstGeom>
        </xdr:spPr>
      </xdr:pic>
      <xdr:sp macro="" textlink="Calculo!I44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318E4CE0-39C8-D7C6-9BE0-02B9258355E2}"/>
              </a:ext>
            </a:extLst>
          </xdr:cNvPr>
          <xdr:cNvSpPr/>
        </xdr:nvSpPr>
        <xdr:spPr>
          <a:xfrm>
            <a:off x="9344025" y="1785045"/>
            <a:ext cx="2266949" cy="78105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404AB8EA-767C-4A34-B761-4562C87800F7}" type="TxLink">
              <a:rPr lang="en-US" sz="36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R$ 400,00</a:t>
            </a:fld>
            <a:endParaRPr lang="pt-BR" sz="36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533396</xdr:colOff>
      <xdr:row>17</xdr:row>
      <xdr:rowOff>142876</xdr:rowOff>
    </xdr:from>
    <xdr:to>
      <xdr:col>12</xdr:col>
      <xdr:colOff>180975</xdr:colOff>
      <xdr:row>32</xdr:row>
      <xdr:rowOff>180975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DFC3DDEB-DDEA-D250-84CC-B307691A439B}"/>
            </a:ext>
          </a:extLst>
        </xdr:cNvPr>
        <xdr:cNvGrpSpPr/>
      </xdr:nvGrpSpPr>
      <xdr:grpSpPr>
        <a:xfrm>
          <a:off x="533396" y="3457576"/>
          <a:ext cx="11182354" cy="2895599"/>
          <a:chOff x="523871" y="3629026"/>
          <a:chExt cx="11182354" cy="2895599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B5616A5A-C286-ECA6-35E4-0ABCAD0AE291}"/>
              </a:ext>
            </a:extLst>
          </xdr:cNvPr>
          <xdr:cNvGrpSpPr/>
        </xdr:nvGrpSpPr>
        <xdr:grpSpPr>
          <a:xfrm>
            <a:off x="523871" y="3629026"/>
            <a:ext cx="11182354" cy="2895599"/>
            <a:chOff x="1186494" y="3781426"/>
            <a:chExt cx="5823906" cy="311908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88A224CA-F3EE-1CB1-19DE-61C908B215AB}"/>
                </a:ext>
              </a:extLst>
            </xdr:cNvPr>
            <xdr:cNvSpPr/>
          </xdr:nvSpPr>
          <xdr:spPr>
            <a:xfrm>
              <a:off x="2124075" y="3781426"/>
              <a:ext cx="4886325" cy="2895600"/>
            </a:xfrm>
            <a:prstGeom prst="roundRect">
              <a:avLst>
                <a:gd name="adj" fmla="val 12061"/>
              </a:avLst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82CC9B7F-F7CD-4641-AA1F-300C6E58F1C8}"/>
                </a:ext>
              </a:extLst>
            </xdr:cNvPr>
            <xdr:cNvGraphicFramePr>
              <a:graphicFrameLocks/>
            </xdr:cNvGraphicFramePr>
          </xdr:nvGraphicFramePr>
          <xdr:xfrm>
            <a:off x="1186494" y="4157311"/>
            <a:ext cx="571477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</xdr:grpSp>
      <xdr:sp macro="" textlink="">
        <xdr:nvSpPr>
          <xdr:cNvPr id="28" name="Retângulo: Cantos Arredondados 27">
            <a:extLst>
              <a:ext uri="{FF2B5EF4-FFF2-40B4-BE49-F238E27FC236}">
                <a16:creationId xmlns:a16="http://schemas.microsoft.com/office/drawing/2014/main" id="{7573BD4C-A894-4244-B1D4-90093074532B}"/>
              </a:ext>
            </a:extLst>
          </xdr:cNvPr>
          <xdr:cNvSpPr/>
        </xdr:nvSpPr>
        <xdr:spPr>
          <a:xfrm>
            <a:off x="2483643" y="3667125"/>
            <a:ext cx="9063038" cy="314325"/>
          </a:xfrm>
          <a:prstGeom prst="roundRect">
            <a:avLst>
              <a:gd name="adj" fmla="val 4394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su" refreshedDate="46310.890740162038" createdVersion="8" refreshedVersion="8" minRefreshableVersion="3" recordCount="99" xr:uid="{EBB5D6EC-82C5-4D4B-A13B-93750B74D0D2}">
  <cacheSource type="worksheet">
    <worksheetSource ref="A1:M100" sheet="Base"/>
  </cacheSource>
  <cacheFields count="13">
    <cacheField name="Subscriber ID" numFmtId="0">
      <sharedItems containsString="0" containsBlank="1" containsNumber="1" containsInteger="1" minValue="3231" maxValue="3523"/>
    </cacheField>
    <cacheField name="Name" numFmtId="0">
      <sharedItems containsBlank="1" count="96">
        <m/>
        <s v="João Silva"/>
        <s v="Ana Souza"/>
        <s v="Camila Ribeiro"/>
        <s v="Sofia Almeida"/>
        <s v="Marco Túlio"/>
        <s v="Fernanda Lima"/>
        <s v="Cesar Oliveira"/>
        <s v="Gabriela Santos"/>
        <s v="Joaquim Barbosa"/>
        <s v="Nicole Costa"/>
        <s v="Raquel Alves"/>
        <s v="Vinicius Lima"/>
        <s v="Bruno Cavalheiro"/>
        <s v="Eunice Lima"/>
        <s v="Hélio Castro"/>
        <s v="Kléber Oliveira"/>
        <s v="Nilo Peçanha"/>
        <s v="Quirino Gonçalves"/>
        <s v="Tiago Ramos"/>
        <s v="William Siqueira"/>
        <s v="Zacarias Alves"/>
        <s v="Carla Bruni"/>
        <s v="Fábio Nobre"/>
        <s v="Ivan Carvalho"/>
        <s v="Lucas Mendes"/>
        <s v="Otávio Barros"/>
        <s v="Raquel Novaes"/>
        <s v="Ulysses Guimarães"/>
        <s v="Ximena Rocha"/>
        <s v="Alan Teixeira"/>
        <s v="Daniela Moura"/>
        <s v="Geraldo Ribeiro"/>
        <s v="João Pedro Almeida"/>
        <s v="Marcelo Gouveia"/>
        <s v="Patrícia Alves"/>
        <s v="Ulisses Tavares"/>
        <s v="Xavier Nascimento"/>
        <s v="Amanda Lopes"/>
        <s v="Diogo Souza"/>
        <s v="João Marcelo"/>
        <s v="Nadia Costa"/>
        <s v="Quênia Barros"/>
        <s v="Tiago Mendes"/>
        <s v="Waldir Junior"/>
        <s v="Zacarias Nunes"/>
        <s v="Carlos Eduardo"/>
        <s v="Fabiano Gomes"/>
        <s v="Igor Martins"/>
        <s v="Luciana Santos"/>
        <s v="Oscar Ribeiro"/>
        <s v="Renata Machado"/>
        <s v="Ulysses Pereira"/>
        <s v="Xuxa Meneghel"/>
        <s v="André Lima"/>
        <s v="Guilherme Souza"/>
        <s v="João Carvalho"/>
        <s v="Nina Pacheco"/>
        <s v="Raquel Domingos"/>
        <s v="Ulysses Farias"/>
        <s v="Ximena Barros"/>
        <s v="André Lopes"/>
        <s v="Daniela Araújo"/>
        <s v="Gabriel Teixeira"/>
        <s v="Joana Silveira"/>
        <s v="Nicolas Borges"/>
        <s v="Raquel Andrade"/>
        <s v="Ursula Monteiro"/>
        <s v="Xavier Almeida"/>
        <s v="Amanda Costa"/>
        <s v="Diogo Martins"/>
        <s v="Gabriel Santos"/>
        <s v="Marcos Vinícius"/>
        <s v="Patrícia Leite"/>
        <s v="Sandra Gouveia"/>
        <s v="Vanessa Andrade"/>
        <s v="Yasmin Figueira"/>
        <s v="Bruno Santos"/>
        <s v="Elisa Neves"/>
        <s v="Hélio Costa"/>
        <s v="Klara Silva"/>
        <s v="Natália Soares"/>
        <s v="Quirino Neto"/>
        <s v="Sandro Almeida"/>
        <s v="Valéria Lima"/>
        <s v="Ygor Farias"/>
        <s v="Bruno Costa"/>
        <s v="Elisa Correia"/>
        <s v="Henrique Gonçalves"/>
        <s v="Klara Fonseca"/>
        <s v="Natália Castro"/>
        <s v="Quentin Nogueira"/>
        <s v="Tânia Machado"/>
        <s v="William Carvalho"/>
        <s v="Zacarias Duarte"/>
        <s v="Carla Siqueira"/>
      </sharedItems>
    </cacheField>
    <cacheField name="Plan" numFmtId="0">
      <sharedItems containsBlank="1" count="2">
        <m/>
        <s v="Ultimate"/>
      </sharedItems>
    </cacheField>
    <cacheField name="Start Date" numFmtId="0">
      <sharedItems containsNonDate="0" containsDate="1" containsString="0" containsBlank="1" minDate="2024-01-01T00:00:00" maxDate="2024-12-15T00:00:00"/>
    </cacheField>
    <cacheField name="Auto Renewal" numFmtId="0">
      <sharedItems containsBlank="1" count="3">
        <m/>
        <s v="Yes"/>
        <s v="No"/>
      </sharedItems>
    </cacheField>
    <cacheField name="Subscription Price" numFmtId="0">
      <sharedItems containsString="0" containsBlank="1" containsNumber="1" containsInteger="1" minValue="15" maxValue="15"/>
    </cacheField>
    <cacheField name="Subscription Type" numFmtId="0">
      <sharedItems containsBlank="1" count="4">
        <m/>
        <s v="Monthly"/>
        <s v="Quarterly"/>
        <s v="Annual"/>
      </sharedItems>
    </cacheField>
    <cacheField name="EA Play Season Pass" numFmtId="0">
      <sharedItems containsBlank="1" count="2">
        <m/>
        <s v="Yes"/>
      </sharedItems>
    </cacheField>
    <cacheField name="EA Play Season Pass2" numFmtId="0">
      <sharedItems containsMixedTypes="1" containsNumber="1" containsInteger="1" minValue="30" maxValue="30"/>
    </cacheField>
    <cacheField name="Minecraft Season Pass" numFmtId="0">
      <sharedItems containsBlank="1"/>
    </cacheField>
    <cacheField name="Minecraft Season Pass Price" numFmtId="0">
      <sharedItems containsString="0" containsBlank="1" containsNumber="1" containsInteger="1" minValue="20" maxValue="20"/>
    </cacheField>
    <cacheField name="Coupon Value" numFmtId="0">
      <sharedItems containsString="0" containsBlank="1" containsNumber="1" containsInteger="1" minValue="3" maxValue="20"/>
    </cacheField>
    <cacheField name="Total Value" numFmtId="0">
      <sharedItems containsString="0" containsBlank="1" containsNumber="1" containsInteger="1" minValue="45" maxValue="62" count="8">
        <m/>
        <n v="60"/>
        <n v="62"/>
        <n v="55"/>
        <n v="45"/>
        <n v="57"/>
        <n v="58"/>
        <n v="50"/>
      </sharedItems>
    </cacheField>
  </cacheFields>
  <extLst>
    <ext xmlns:x14="http://schemas.microsoft.com/office/spreadsheetml/2009/9/main" uri="{725AE2AE-9491-48be-B2B4-4EB974FC3084}">
      <x14:pivotCacheDefinition pivotCacheId="4370092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m/>
    <x v="0"/>
    <x v="0"/>
    <m/>
    <x v="0"/>
    <m/>
    <x v="0"/>
    <x v="0"/>
    <s v="Price"/>
    <m/>
    <m/>
    <m/>
    <x v="0"/>
  </r>
  <r>
    <n v="3231"/>
    <x v="1"/>
    <x v="1"/>
    <d v="2024-01-01T00:00:00"/>
    <x v="1"/>
    <n v="15"/>
    <x v="1"/>
    <x v="1"/>
    <n v="30"/>
    <s v="Yes"/>
    <n v="20"/>
    <n v="5"/>
    <x v="1"/>
  </r>
  <r>
    <n v="3234"/>
    <x v="2"/>
    <x v="1"/>
    <d v="2024-02-20T00:00:00"/>
    <x v="2"/>
    <n v="15"/>
    <x v="1"/>
    <x v="1"/>
    <n v="30"/>
    <s v="Yes"/>
    <n v="20"/>
    <n v="3"/>
    <x v="2"/>
  </r>
  <r>
    <n v="3237"/>
    <x v="3"/>
    <x v="1"/>
    <d v="2024-03-03T00:00:00"/>
    <x v="1"/>
    <n v="15"/>
    <x v="2"/>
    <x v="1"/>
    <n v="30"/>
    <s v="Yes"/>
    <n v="20"/>
    <n v="10"/>
    <x v="3"/>
  </r>
  <r>
    <n v="3239"/>
    <x v="4"/>
    <x v="1"/>
    <d v="2024-03-05T00:00:00"/>
    <x v="2"/>
    <n v="15"/>
    <x v="1"/>
    <x v="1"/>
    <n v="30"/>
    <s v="Yes"/>
    <n v="20"/>
    <n v="5"/>
    <x v="1"/>
  </r>
  <r>
    <n v="3242"/>
    <x v="5"/>
    <x v="1"/>
    <d v="2024-03-08T00:00:00"/>
    <x v="1"/>
    <n v="15"/>
    <x v="3"/>
    <x v="1"/>
    <n v="30"/>
    <s v="Yes"/>
    <n v="20"/>
    <n v="20"/>
    <x v="4"/>
  </r>
  <r>
    <n v="3245"/>
    <x v="6"/>
    <x v="1"/>
    <d v="2024-03-11T00:00:00"/>
    <x v="2"/>
    <n v="15"/>
    <x v="1"/>
    <x v="1"/>
    <n v="30"/>
    <s v="Yes"/>
    <n v="20"/>
    <n v="8"/>
    <x v="5"/>
  </r>
  <r>
    <n v="3248"/>
    <x v="7"/>
    <x v="1"/>
    <d v="2024-03-14T00:00:00"/>
    <x v="1"/>
    <n v="15"/>
    <x v="2"/>
    <x v="1"/>
    <n v="30"/>
    <s v="Yes"/>
    <n v="20"/>
    <n v="7"/>
    <x v="6"/>
  </r>
  <r>
    <n v="3251"/>
    <x v="8"/>
    <x v="1"/>
    <d v="2024-03-17T00:00:00"/>
    <x v="2"/>
    <n v="15"/>
    <x v="1"/>
    <x v="1"/>
    <n v="30"/>
    <s v="Yes"/>
    <n v="20"/>
    <n v="3"/>
    <x v="2"/>
  </r>
  <r>
    <n v="3254"/>
    <x v="9"/>
    <x v="1"/>
    <d v="2024-03-20T00:00:00"/>
    <x v="1"/>
    <n v="15"/>
    <x v="3"/>
    <x v="1"/>
    <n v="30"/>
    <s v="Yes"/>
    <n v="20"/>
    <n v="20"/>
    <x v="4"/>
  </r>
  <r>
    <n v="3257"/>
    <x v="10"/>
    <x v="1"/>
    <d v="2024-03-23T00:00:00"/>
    <x v="2"/>
    <n v="15"/>
    <x v="1"/>
    <x v="1"/>
    <n v="30"/>
    <s v="Yes"/>
    <n v="20"/>
    <n v="5"/>
    <x v="1"/>
  </r>
  <r>
    <n v="3260"/>
    <x v="11"/>
    <x v="1"/>
    <d v="2024-03-26T00:00:00"/>
    <x v="1"/>
    <n v="15"/>
    <x v="2"/>
    <x v="1"/>
    <n v="30"/>
    <s v="Yes"/>
    <n v="20"/>
    <n v="7"/>
    <x v="6"/>
  </r>
  <r>
    <n v="3263"/>
    <x v="12"/>
    <x v="1"/>
    <d v="2024-03-29T00:00:00"/>
    <x v="2"/>
    <n v="15"/>
    <x v="1"/>
    <x v="1"/>
    <n v="30"/>
    <s v="Yes"/>
    <n v="20"/>
    <n v="3"/>
    <x v="2"/>
  </r>
  <r>
    <n v="3267"/>
    <x v="13"/>
    <x v="1"/>
    <d v="2024-04-02T00:00:00"/>
    <x v="2"/>
    <n v="15"/>
    <x v="2"/>
    <x v="1"/>
    <n v="30"/>
    <s v="Yes"/>
    <n v="20"/>
    <n v="7"/>
    <x v="6"/>
  </r>
  <r>
    <n v="3270"/>
    <x v="14"/>
    <x v="1"/>
    <d v="2024-04-05T00:00:00"/>
    <x v="1"/>
    <n v="15"/>
    <x v="1"/>
    <x v="1"/>
    <n v="30"/>
    <s v="Yes"/>
    <n v="20"/>
    <n v="15"/>
    <x v="7"/>
  </r>
  <r>
    <n v="3273"/>
    <x v="15"/>
    <x v="1"/>
    <d v="2024-04-08T00:00:00"/>
    <x v="2"/>
    <n v="15"/>
    <x v="2"/>
    <x v="1"/>
    <n v="30"/>
    <s v="Yes"/>
    <n v="20"/>
    <n v="20"/>
    <x v="4"/>
  </r>
  <r>
    <n v="3276"/>
    <x v="16"/>
    <x v="1"/>
    <d v="2024-04-11T00:00:00"/>
    <x v="1"/>
    <n v="15"/>
    <x v="3"/>
    <x v="1"/>
    <n v="30"/>
    <s v="Yes"/>
    <n v="20"/>
    <n v="5"/>
    <x v="1"/>
  </r>
  <r>
    <n v="3279"/>
    <x v="17"/>
    <x v="1"/>
    <d v="2024-04-14T00:00:00"/>
    <x v="2"/>
    <n v="15"/>
    <x v="1"/>
    <x v="1"/>
    <n v="30"/>
    <s v="Yes"/>
    <n v="20"/>
    <n v="3"/>
    <x v="2"/>
  </r>
  <r>
    <n v="3282"/>
    <x v="18"/>
    <x v="1"/>
    <d v="2024-04-17T00:00:00"/>
    <x v="1"/>
    <n v="15"/>
    <x v="2"/>
    <x v="1"/>
    <n v="30"/>
    <s v="Yes"/>
    <n v="20"/>
    <n v="7"/>
    <x v="6"/>
  </r>
  <r>
    <n v="3285"/>
    <x v="19"/>
    <x v="1"/>
    <d v="2024-04-20T00:00:00"/>
    <x v="2"/>
    <n v="15"/>
    <x v="1"/>
    <x v="1"/>
    <n v="30"/>
    <s v="Yes"/>
    <n v="20"/>
    <n v="20"/>
    <x v="4"/>
  </r>
  <r>
    <n v="3288"/>
    <x v="20"/>
    <x v="1"/>
    <d v="2024-04-23T00:00:00"/>
    <x v="1"/>
    <n v="15"/>
    <x v="3"/>
    <x v="1"/>
    <n v="30"/>
    <s v="Yes"/>
    <n v="20"/>
    <n v="3"/>
    <x v="2"/>
  </r>
  <r>
    <n v="3291"/>
    <x v="21"/>
    <x v="1"/>
    <d v="2024-04-26T00:00:00"/>
    <x v="2"/>
    <n v="15"/>
    <x v="1"/>
    <x v="1"/>
    <n v="30"/>
    <s v="Yes"/>
    <n v="20"/>
    <n v="5"/>
    <x v="1"/>
  </r>
  <r>
    <n v="3294"/>
    <x v="22"/>
    <x v="1"/>
    <d v="2024-04-29T00:00:00"/>
    <x v="1"/>
    <n v="15"/>
    <x v="2"/>
    <x v="1"/>
    <n v="30"/>
    <s v="Yes"/>
    <n v="20"/>
    <n v="20"/>
    <x v="4"/>
  </r>
  <r>
    <n v="3297"/>
    <x v="23"/>
    <x v="1"/>
    <d v="2024-05-02T00:00:00"/>
    <x v="1"/>
    <n v="15"/>
    <x v="2"/>
    <x v="1"/>
    <n v="30"/>
    <s v="Yes"/>
    <n v="20"/>
    <n v="7"/>
    <x v="6"/>
  </r>
  <r>
    <n v="3300"/>
    <x v="24"/>
    <x v="1"/>
    <d v="2024-05-05T00:00:00"/>
    <x v="2"/>
    <n v="15"/>
    <x v="1"/>
    <x v="1"/>
    <n v="30"/>
    <s v="Yes"/>
    <n v="20"/>
    <n v="15"/>
    <x v="7"/>
  </r>
  <r>
    <n v="3303"/>
    <x v="25"/>
    <x v="1"/>
    <d v="2024-05-08T00:00:00"/>
    <x v="1"/>
    <n v="15"/>
    <x v="2"/>
    <x v="1"/>
    <n v="30"/>
    <s v="Yes"/>
    <n v="20"/>
    <n v="20"/>
    <x v="4"/>
  </r>
  <r>
    <n v="3306"/>
    <x v="26"/>
    <x v="1"/>
    <d v="2024-05-11T00:00:00"/>
    <x v="2"/>
    <n v="15"/>
    <x v="3"/>
    <x v="1"/>
    <n v="30"/>
    <s v="Yes"/>
    <n v="20"/>
    <n v="5"/>
    <x v="1"/>
  </r>
  <r>
    <n v="3309"/>
    <x v="27"/>
    <x v="1"/>
    <d v="2024-05-14T00:00:00"/>
    <x v="1"/>
    <n v="15"/>
    <x v="1"/>
    <x v="1"/>
    <n v="30"/>
    <s v="Yes"/>
    <n v="20"/>
    <n v="3"/>
    <x v="2"/>
  </r>
  <r>
    <n v="3312"/>
    <x v="28"/>
    <x v="1"/>
    <d v="2024-05-17T00:00:00"/>
    <x v="2"/>
    <n v="15"/>
    <x v="2"/>
    <x v="1"/>
    <n v="30"/>
    <s v="Yes"/>
    <n v="20"/>
    <n v="7"/>
    <x v="6"/>
  </r>
  <r>
    <n v="3315"/>
    <x v="29"/>
    <x v="1"/>
    <d v="2024-05-20T00:00:00"/>
    <x v="1"/>
    <n v="15"/>
    <x v="1"/>
    <x v="1"/>
    <n v="30"/>
    <s v="Yes"/>
    <n v="20"/>
    <n v="20"/>
    <x v="4"/>
  </r>
  <r>
    <n v="3318"/>
    <x v="30"/>
    <x v="1"/>
    <d v="2024-05-23T00:00:00"/>
    <x v="2"/>
    <n v="15"/>
    <x v="3"/>
    <x v="1"/>
    <n v="30"/>
    <s v="Yes"/>
    <n v="20"/>
    <n v="3"/>
    <x v="2"/>
  </r>
  <r>
    <n v="3321"/>
    <x v="31"/>
    <x v="1"/>
    <d v="2024-05-26T00:00:00"/>
    <x v="1"/>
    <n v="15"/>
    <x v="1"/>
    <x v="1"/>
    <n v="30"/>
    <s v="Yes"/>
    <n v="20"/>
    <n v="5"/>
    <x v="1"/>
  </r>
  <r>
    <n v="3324"/>
    <x v="32"/>
    <x v="1"/>
    <d v="2024-05-29T00:00:00"/>
    <x v="2"/>
    <n v="15"/>
    <x v="2"/>
    <x v="1"/>
    <n v="30"/>
    <s v="Yes"/>
    <n v="20"/>
    <n v="20"/>
    <x v="4"/>
  </r>
  <r>
    <n v="3327"/>
    <x v="33"/>
    <x v="1"/>
    <d v="2024-06-01T00:00:00"/>
    <x v="1"/>
    <n v="15"/>
    <x v="1"/>
    <x v="1"/>
    <n v="30"/>
    <s v="Yes"/>
    <n v="20"/>
    <n v="7"/>
    <x v="6"/>
  </r>
  <r>
    <n v="3330"/>
    <x v="34"/>
    <x v="1"/>
    <d v="2024-06-04T00:00:00"/>
    <x v="2"/>
    <n v="15"/>
    <x v="1"/>
    <x v="1"/>
    <n v="30"/>
    <s v="Yes"/>
    <n v="20"/>
    <n v="15"/>
    <x v="7"/>
  </r>
  <r>
    <n v="3333"/>
    <x v="35"/>
    <x v="1"/>
    <d v="2024-06-07T00:00:00"/>
    <x v="1"/>
    <n v="15"/>
    <x v="2"/>
    <x v="1"/>
    <n v="30"/>
    <s v="Yes"/>
    <n v="20"/>
    <n v="20"/>
    <x v="4"/>
  </r>
  <r>
    <n v="3337"/>
    <x v="36"/>
    <x v="1"/>
    <d v="2024-06-11T00:00:00"/>
    <x v="2"/>
    <n v="15"/>
    <x v="2"/>
    <x v="1"/>
    <n v="30"/>
    <s v="Yes"/>
    <n v="20"/>
    <n v="7"/>
    <x v="6"/>
  </r>
  <r>
    <n v="3340"/>
    <x v="37"/>
    <x v="1"/>
    <d v="2024-06-14T00:00:00"/>
    <x v="1"/>
    <n v="15"/>
    <x v="1"/>
    <x v="1"/>
    <n v="30"/>
    <s v="Yes"/>
    <n v="20"/>
    <n v="15"/>
    <x v="7"/>
  </r>
  <r>
    <n v="3343"/>
    <x v="38"/>
    <x v="1"/>
    <d v="2024-06-17T00:00:00"/>
    <x v="2"/>
    <n v="15"/>
    <x v="2"/>
    <x v="1"/>
    <n v="30"/>
    <s v="Yes"/>
    <n v="20"/>
    <n v="20"/>
    <x v="4"/>
  </r>
  <r>
    <n v="3346"/>
    <x v="39"/>
    <x v="1"/>
    <d v="2024-06-20T00:00:00"/>
    <x v="1"/>
    <n v="15"/>
    <x v="3"/>
    <x v="1"/>
    <n v="30"/>
    <s v="Yes"/>
    <n v="20"/>
    <n v="5"/>
    <x v="1"/>
  </r>
  <r>
    <n v="3349"/>
    <x v="32"/>
    <x v="1"/>
    <d v="2024-06-23T00:00:00"/>
    <x v="2"/>
    <n v="15"/>
    <x v="1"/>
    <x v="1"/>
    <n v="30"/>
    <s v="Yes"/>
    <n v="20"/>
    <n v="3"/>
    <x v="2"/>
  </r>
  <r>
    <n v="3352"/>
    <x v="40"/>
    <x v="1"/>
    <d v="2024-06-26T00:00:00"/>
    <x v="1"/>
    <n v="15"/>
    <x v="2"/>
    <x v="1"/>
    <n v="30"/>
    <s v="Yes"/>
    <n v="20"/>
    <n v="7"/>
    <x v="6"/>
  </r>
  <r>
    <n v="3355"/>
    <x v="41"/>
    <x v="1"/>
    <d v="2024-06-29T00:00:00"/>
    <x v="2"/>
    <n v="15"/>
    <x v="1"/>
    <x v="1"/>
    <n v="30"/>
    <s v="Yes"/>
    <n v="20"/>
    <n v="20"/>
    <x v="4"/>
  </r>
  <r>
    <n v="3358"/>
    <x v="42"/>
    <x v="1"/>
    <d v="2024-07-02T00:00:00"/>
    <x v="1"/>
    <n v="15"/>
    <x v="3"/>
    <x v="1"/>
    <n v="30"/>
    <s v="Yes"/>
    <n v="20"/>
    <n v="3"/>
    <x v="2"/>
  </r>
  <r>
    <n v="3361"/>
    <x v="43"/>
    <x v="1"/>
    <d v="2024-07-05T00:00:00"/>
    <x v="2"/>
    <n v="15"/>
    <x v="1"/>
    <x v="1"/>
    <n v="30"/>
    <s v="Yes"/>
    <n v="20"/>
    <n v="15"/>
    <x v="7"/>
  </r>
  <r>
    <n v="3364"/>
    <x v="44"/>
    <x v="1"/>
    <d v="2024-07-08T00:00:00"/>
    <x v="1"/>
    <n v="15"/>
    <x v="2"/>
    <x v="1"/>
    <n v="30"/>
    <s v="Yes"/>
    <n v="20"/>
    <n v="7"/>
    <x v="6"/>
  </r>
  <r>
    <n v="3367"/>
    <x v="45"/>
    <x v="1"/>
    <d v="2024-07-11T00:00:00"/>
    <x v="2"/>
    <n v="15"/>
    <x v="2"/>
    <x v="1"/>
    <n v="30"/>
    <s v="Yes"/>
    <n v="20"/>
    <n v="7"/>
    <x v="6"/>
  </r>
  <r>
    <n v="3370"/>
    <x v="46"/>
    <x v="1"/>
    <d v="2024-07-14T00:00:00"/>
    <x v="1"/>
    <n v="15"/>
    <x v="1"/>
    <x v="1"/>
    <n v="30"/>
    <s v="Yes"/>
    <n v="20"/>
    <n v="15"/>
    <x v="7"/>
  </r>
  <r>
    <n v="3373"/>
    <x v="47"/>
    <x v="1"/>
    <d v="2024-07-17T00:00:00"/>
    <x v="2"/>
    <n v="15"/>
    <x v="2"/>
    <x v="1"/>
    <n v="30"/>
    <s v="Yes"/>
    <n v="20"/>
    <n v="20"/>
    <x v="4"/>
  </r>
  <r>
    <n v="3376"/>
    <x v="48"/>
    <x v="1"/>
    <d v="2024-07-20T00:00:00"/>
    <x v="1"/>
    <n v="15"/>
    <x v="3"/>
    <x v="1"/>
    <n v="30"/>
    <s v="Yes"/>
    <n v="20"/>
    <n v="5"/>
    <x v="1"/>
  </r>
  <r>
    <n v="3379"/>
    <x v="49"/>
    <x v="1"/>
    <d v="2024-07-23T00:00:00"/>
    <x v="2"/>
    <n v="15"/>
    <x v="1"/>
    <x v="1"/>
    <n v="30"/>
    <s v="Yes"/>
    <n v="20"/>
    <n v="3"/>
    <x v="2"/>
  </r>
  <r>
    <n v="3382"/>
    <x v="50"/>
    <x v="1"/>
    <d v="2024-07-26T00:00:00"/>
    <x v="1"/>
    <n v="15"/>
    <x v="2"/>
    <x v="1"/>
    <n v="30"/>
    <s v="Yes"/>
    <n v="20"/>
    <n v="7"/>
    <x v="6"/>
  </r>
  <r>
    <n v="3385"/>
    <x v="51"/>
    <x v="1"/>
    <d v="2024-07-29T00:00:00"/>
    <x v="2"/>
    <n v="15"/>
    <x v="1"/>
    <x v="1"/>
    <n v="30"/>
    <s v="Yes"/>
    <n v="20"/>
    <n v="20"/>
    <x v="4"/>
  </r>
  <r>
    <n v="3388"/>
    <x v="52"/>
    <x v="1"/>
    <d v="2024-08-01T00:00:00"/>
    <x v="1"/>
    <n v="15"/>
    <x v="3"/>
    <x v="1"/>
    <n v="30"/>
    <s v="Yes"/>
    <n v="20"/>
    <n v="3"/>
    <x v="2"/>
  </r>
  <r>
    <n v="3391"/>
    <x v="53"/>
    <x v="1"/>
    <d v="2024-08-04T00:00:00"/>
    <x v="2"/>
    <n v="15"/>
    <x v="1"/>
    <x v="1"/>
    <n v="30"/>
    <s v="Yes"/>
    <n v="20"/>
    <n v="15"/>
    <x v="7"/>
  </r>
  <r>
    <n v="3394"/>
    <x v="54"/>
    <x v="1"/>
    <d v="2024-08-07T00:00:00"/>
    <x v="1"/>
    <n v="15"/>
    <x v="2"/>
    <x v="1"/>
    <n v="30"/>
    <s v="Yes"/>
    <n v="20"/>
    <n v="7"/>
    <x v="6"/>
  </r>
  <r>
    <n v="3397"/>
    <x v="31"/>
    <x v="1"/>
    <d v="2024-08-10T00:00:00"/>
    <x v="2"/>
    <n v="15"/>
    <x v="1"/>
    <x v="1"/>
    <n v="30"/>
    <s v="Yes"/>
    <n v="20"/>
    <n v="20"/>
    <x v="4"/>
  </r>
  <r>
    <n v="3400"/>
    <x v="55"/>
    <x v="1"/>
    <d v="2024-08-13T00:00:00"/>
    <x v="1"/>
    <n v="15"/>
    <x v="3"/>
    <x v="1"/>
    <n v="30"/>
    <s v="Yes"/>
    <n v="20"/>
    <n v="5"/>
    <x v="1"/>
  </r>
  <r>
    <n v="3403"/>
    <x v="56"/>
    <x v="1"/>
    <d v="2024-08-16T00:00:00"/>
    <x v="2"/>
    <n v="15"/>
    <x v="1"/>
    <x v="1"/>
    <n v="30"/>
    <s v="Yes"/>
    <n v="20"/>
    <n v="3"/>
    <x v="2"/>
  </r>
  <r>
    <n v="3407"/>
    <x v="57"/>
    <x v="1"/>
    <d v="2024-08-20T00:00:00"/>
    <x v="2"/>
    <n v="15"/>
    <x v="2"/>
    <x v="1"/>
    <n v="30"/>
    <s v="Yes"/>
    <n v="20"/>
    <n v="7"/>
    <x v="6"/>
  </r>
  <r>
    <n v="3410"/>
    <x v="58"/>
    <x v="1"/>
    <d v="2024-08-23T00:00:00"/>
    <x v="1"/>
    <n v="15"/>
    <x v="1"/>
    <x v="1"/>
    <n v="30"/>
    <s v="Yes"/>
    <n v="20"/>
    <n v="15"/>
    <x v="7"/>
  </r>
  <r>
    <n v="3413"/>
    <x v="59"/>
    <x v="1"/>
    <d v="2024-08-26T00:00:00"/>
    <x v="2"/>
    <n v="15"/>
    <x v="2"/>
    <x v="1"/>
    <n v="30"/>
    <s v="Yes"/>
    <n v="20"/>
    <n v="20"/>
    <x v="4"/>
  </r>
  <r>
    <n v="3416"/>
    <x v="60"/>
    <x v="1"/>
    <d v="2024-08-29T00:00:00"/>
    <x v="1"/>
    <n v="15"/>
    <x v="3"/>
    <x v="1"/>
    <n v="30"/>
    <s v="Yes"/>
    <n v="20"/>
    <n v="5"/>
    <x v="1"/>
  </r>
  <r>
    <n v="3419"/>
    <x v="61"/>
    <x v="1"/>
    <d v="2024-09-01T00:00:00"/>
    <x v="2"/>
    <n v="15"/>
    <x v="1"/>
    <x v="1"/>
    <n v="30"/>
    <s v="Yes"/>
    <n v="20"/>
    <n v="3"/>
    <x v="2"/>
  </r>
  <r>
    <n v="3422"/>
    <x v="62"/>
    <x v="1"/>
    <d v="2024-09-04T00:00:00"/>
    <x v="1"/>
    <n v="15"/>
    <x v="2"/>
    <x v="1"/>
    <n v="30"/>
    <s v="Yes"/>
    <n v="20"/>
    <n v="7"/>
    <x v="6"/>
  </r>
  <r>
    <n v="3425"/>
    <x v="63"/>
    <x v="1"/>
    <d v="2024-09-07T00:00:00"/>
    <x v="2"/>
    <n v="15"/>
    <x v="1"/>
    <x v="1"/>
    <n v="30"/>
    <s v="Yes"/>
    <n v="20"/>
    <n v="20"/>
    <x v="4"/>
  </r>
  <r>
    <n v="3428"/>
    <x v="64"/>
    <x v="1"/>
    <d v="2024-09-10T00:00:00"/>
    <x v="1"/>
    <n v="15"/>
    <x v="3"/>
    <x v="1"/>
    <n v="30"/>
    <s v="Yes"/>
    <n v="20"/>
    <n v="3"/>
    <x v="2"/>
  </r>
  <r>
    <n v="3431"/>
    <x v="65"/>
    <x v="1"/>
    <d v="2024-09-13T00:00:00"/>
    <x v="2"/>
    <n v="15"/>
    <x v="1"/>
    <x v="1"/>
    <n v="30"/>
    <s v="Yes"/>
    <n v="20"/>
    <n v="15"/>
    <x v="7"/>
  </r>
  <r>
    <n v="3434"/>
    <x v="66"/>
    <x v="1"/>
    <d v="2024-09-16T00:00:00"/>
    <x v="1"/>
    <n v="15"/>
    <x v="2"/>
    <x v="1"/>
    <n v="30"/>
    <s v="Yes"/>
    <n v="20"/>
    <n v="7"/>
    <x v="6"/>
  </r>
  <r>
    <n v="3437"/>
    <x v="67"/>
    <x v="1"/>
    <d v="2024-09-19T00:00:00"/>
    <x v="2"/>
    <n v="15"/>
    <x v="2"/>
    <x v="1"/>
    <n v="30"/>
    <s v="Yes"/>
    <n v="20"/>
    <n v="7"/>
    <x v="6"/>
  </r>
  <r>
    <n v="3440"/>
    <x v="68"/>
    <x v="1"/>
    <d v="2024-09-22T00:00:00"/>
    <x v="1"/>
    <n v="15"/>
    <x v="1"/>
    <x v="1"/>
    <n v="30"/>
    <s v="Yes"/>
    <n v="20"/>
    <n v="15"/>
    <x v="7"/>
  </r>
  <r>
    <n v="3443"/>
    <x v="69"/>
    <x v="1"/>
    <d v="2024-09-25T00:00:00"/>
    <x v="2"/>
    <n v="15"/>
    <x v="2"/>
    <x v="1"/>
    <n v="30"/>
    <s v="Yes"/>
    <n v="20"/>
    <n v="20"/>
    <x v="4"/>
  </r>
  <r>
    <n v="3446"/>
    <x v="70"/>
    <x v="1"/>
    <d v="2024-09-28T00:00:00"/>
    <x v="1"/>
    <n v="15"/>
    <x v="3"/>
    <x v="1"/>
    <n v="30"/>
    <s v="Yes"/>
    <n v="20"/>
    <n v="5"/>
    <x v="1"/>
  </r>
  <r>
    <n v="3449"/>
    <x v="71"/>
    <x v="1"/>
    <d v="2024-10-01T00:00:00"/>
    <x v="2"/>
    <n v="15"/>
    <x v="1"/>
    <x v="1"/>
    <n v="30"/>
    <s v="Yes"/>
    <n v="20"/>
    <n v="3"/>
    <x v="2"/>
  </r>
  <r>
    <n v="3452"/>
    <x v="64"/>
    <x v="1"/>
    <d v="2024-10-04T00:00:00"/>
    <x v="1"/>
    <n v="15"/>
    <x v="2"/>
    <x v="1"/>
    <n v="30"/>
    <s v="Yes"/>
    <n v="20"/>
    <n v="7"/>
    <x v="6"/>
  </r>
  <r>
    <n v="3455"/>
    <x v="72"/>
    <x v="1"/>
    <d v="2024-10-07T00:00:00"/>
    <x v="2"/>
    <n v="15"/>
    <x v="1"/>
    <x v="1"/>
    <n v="30"/>
    <s v="Yes"/>
    <n v="20"/>
    <n v="20"/>
    <x v="4"/>
  </r>
  <r>
    <n v="3458"/>
    <x v="73"/>
    <x v="1"/>
    <d v="2024-10-10T00:00:00"/>
    <x v="1"/>
    <n v="15"/>
    <x v="3"/>
    <x v="1"/>
    <n v="30"/>
    <s v="Yes"/>
    <n v="20"/>
    <n v="3"/>
    <x v="2"/>
  </r>
  <r>
    <n v="3461"/>
    <x v="74"/>
    <x v="1"/>
    <d v="2024-10-13T00:00:00"/>
    <x v="2"/>
    <n v="15"/>
    <x v="1"/>
    <x v="1"/>
    <n v="30"/>
    <s v="Yes"/>
    <n v="20"/>
    <n v="15"/>
    <x v="7"/>
  </r>
  <r>
    <n v="3464"/>
    <x v="75"/>
    <x v="1"/>
    <d v="2024-10-16T00:00:00"/>
    <x v="1"/>
    <n v="15"/>
    <x v="2"/>
    <x v="1"/>
    <n v="30"/>
    <s v="Yes"/>
    <n v="20"/>
    <n v="7"/>
    <x v="6"/>
  </r>
  <r>
    <n v="3467"/>
    <x v="76"/>
    <x v="1"/>
    <d v="2024-10-19T00:00:00"/>
    <x v="2"/>
    <n v="15"/>
    <x v="1"/>
    <x v="1"/>
    <n v="30"/>
    <s v="Yes"/>
    <n v="20"/>
    <n v="15"/>
    <x v="7"/>
  </r>
  <r>
    <n v="3470"/>
    <x v="77"/>
    <x v="1"/>
    <d v="2024-10-22T00:00:00"/>
    <x v="1"/>
    <n v="15"/>
    <x v="3"/>
    <x v="1"/>
    <n v="30"/>
    <s v="Yes"/>
    <n v="20"/>
    <n v="5"/>
    <x v="1"/>
  </r>
  <r>
    <n v="3473"/>
    <x v="78"/>
    <x v="1"/>
    <d v="2024-10-25T00:00:00"/>
    <x v="2"/>
    <n v="15"/>
    <x v="1"/>
    <x v="1"/>
    <n v="30"/>
    <s v="Yes"/>
    <n v="20"/>
    <n v="3"/>
    <x v="2"/>
  </r>
  <r>
    <n v="3476"/>
    <x v="79"/>
    <x v="1"/>
    <d v="2024-10-28T00:00:00"/>
    <x v="1"/>
    <n v="15"/>
    <x v="2"/>
    <x v="1"/>
    <n v="30"/>
    <s v="Yes"/>
    <n v="20"/>
    <n v="7"/>
    <x v="6"/>
  </r>
  <r>
    <n v="3479"/>
    <x v="80"/>
    <x v="1"/>
    <d v="2024-10-31T00:00:00"/>
    <x v="2"/>
    <n v="15"/>
    <x v="1"/>
    <x v="1"/>
    <n v="30"/>
    <s v="Yes"/>
    <n v="20"/>
    <n v="20"/>
    <x v="4"/>
  </r>
  <r>
    <n v="3482"/>
    <x v="81"/>
    <x v="1"/>
    <d v="2024-11-03T00:00:00"/>
    <x v="1"/>
    <n v="15"/>
    <x v="3"/>
    <x v="1"/>
    <n v="30"/>
    <s v="Yes"/>
    <n v="20"/>
    <n v="3"/>
    <x v="2"/>
  </r>
  <r>
    <n v="3485"/>
    <x v="82"/>
    <x v="1"/>
    <d v="2024-11-06T00:00:00"/>
    <x v="2"/>
    <n v="15"/>
    <x v="1"/>
    <x v="1"/>
    <n v="30"/>
    <s v="Yes"/>
    <n v="20"/>
    <n v="15"/>
    <x v="7"/>
  </r>
  <r>
    <n v="3487"/>
    <x v="83"/>
    <x v="1"/>
    <d v="2024-11-08T00:00:00"/>
    <x v="2"/>
    <n v="15"/>
    <x v="2"/>
    <x v="1"/>
    <n v="30"/>
    <s v="Yes"/>
    <n v="20"/>
    <n v="7"/>
    <x v="6"/>
  </r>
  <r>
    <n v="3490"/>
    <x v="84"/>
    <x v="1"/>
    <d v="2024-11-11T00:00:00"/>
    <x v="1"/>
    <n v="15"/>
    <x v="1"/>
    <x v="1"/>
    <n v="30"/>
    <s v="Yes"/>
    <n v="20"/>
    <n v="15"/>
    <x v="7"/>
  </r>
  <r>
    <n v="3493"/>
    <x v="85"/>
    <x v="1"/>
    <d v="2024-11-14T00:00:00"/>
    <x v="2"/>
    <n v="15"/>
    <x v="2"/>
    <x v="1"/>
    <n v="30"/>
    <s v="Yes"/>
    <n v="20"/>
    <n v="20"/>
    <x v="4"/>
  </r>
  <r>
    <n v="3496"/>
    <x v="86"/>
    <x v="1"/>
    <d v="2024-11-17T00:00:00"/>
    <x v="1"/>
    <n v="15"/>
    <x v="3"/>
    <x v="1"/>
    <n v="30"/>
    <s v="Yes"/>
    <n v="20"/>
    <n v="5"/>
    <x v="1"/>
  </r>
  <r>
    <n v="3499"/>
    <x v="87"/>
    <x v="1"/>
    <d v="2024-11-20T00:00:00"/>
    <x v="2"/>
    <n v="15"/>
    <x v="1"/>
    <x v="1"/>
    <n v="30"/>
    <s v="Yes"/>
    <n v="20"/>
    <n v="3"/>
    <x v="2"/>
  </r>
  <r>
    <n v="3502"/>
    <x v="88"/>
    <x v="1"/>
    <d v="2024-11-23T00:00:00"/>
    <x v="1"/>
    <n v="15"/>
    <x v="2"/>
    <x v="1"/>
    <n v="30"/>
    <s v="Yes"/>
    <n v="20"/>
    <n v="7"/>
    <x v="6"/>
  </r>
  <r>
    <n v="3505"/>
    <x v="89"/>
    <x v="1"/>
    <d v="2024-11-26T00:00:00"/>
    <x v="2"/>
    <n v="15"/>
    <x v="1"/>
    <x v="1"/>
    <n v="30"/>
    <s v="Yes"/>
    <n v="20"/>
    <n v="20"/>
    <x v="4"/>
  </r>
  <r>
    <n v="3508"/>
    <x v="90"/>
    <x v="1"/>
    <d v="2024-11-29T00:00:00"/>
    <x v="1"/>
    <n v="15"/>
    <x v="3"/>
    <x v="1"/>
    <n v="30"/>
    <s v="Yes"/>
    <n v="20"/>
    <n v="3"/>
    <x v="2"/>
  </r>
  <r>
    <n v="3511"/>
    <x v="91"/>
    <x v="1"/>
    <d v="2024-12-02T00:00:00"/>
    <x v="2"/>
    <n v="15"/>
    <x v="1"/>
    <x v="1"/>
    <n v="30"/>
    <s v="Yes"/>
    <n v="20"/>
    <n v="15"/>
    <x v="7"/>
  </r>
  <r>
    <n v="3514"/>
    <x v="92"/>
    <x v="1"/>
    <d v="2024-12-05T00:00:00"/>
    <x v="1"/>
    <n v="15"/>
    <x v="2"/>
    <x v="1"/>
    <n v="30"/>
    <s v="Yes"/>
    <n v="20"/>
    <n v="7"/>
    <x v="6"/>
  </r>
  <r>
    <n v="3517"/>
    <x v="93"/>
    <x v="1"/>
    <d v="2024-12-08T00:00:00"/>
    <x v="2"/>
    <n v="15"/>
    <x v="1"/>
    <x v="1"/>
    <n v="30"/>
    <s v="Yes"/>
    <n v="20"/>
    <n v="20"/>
    <x v="4"/>
  </r>
  <r>
    <n v="3520"/>
    <x v="94"/>
    <x v="1"/>
    <d v="2024-12-11T00:00:00"/>
    <x v="1"/>
    <n v="15"/>
    <x v="3"/>
    <x v="1"/>
    <n v="30"/>
    <s v="Yes"/>
    <n v="20"/>
    <n v="5"/>
    <x v="1"/>
  </r>
  <r>
    <n v="3523"/>
    <x v="95"/>
    <x v="1"/>
    <d v="2024-12-14T00:00:00"/>
    <x v="2"/>
    <n v="15"/>
    <x v="1"/>
    <x v="1"/>
    <n v="30"/>
    <s v="Yes"/>
    <n v="20"/>
    <n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0AFB1-3FC1-458E-8FE2-4AAB7B47D32A}" name="tbl_minecraft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42:B44" firstHeaderRow="1" firstDataRow="1" firstDataCol="1" rowPageCount="1" colPageCount="1"/>
  <pivotFields count="13">
    <pivotField showAll="0"/>
    <pivotField showAll="0">
      <items count="97">
        <item x="30"/>
        <item x="69"/>
        <item x="38"/>
        <item x="2"/>
        <item x="54"/>
        <item x="61"/>
        <item x="13"/>
        <item x="86"/>
        <item x="77"/>
        <item x="3"/>
        <item x="22"/>
        <item x="95"/>
        <item x="46"/>
        <item x="7"/>
        <item x="62"/>
        <item x="31"/>
        <item x="70"/>
        <item x="39"/>
        <item x="87"/>
        <item x="78"/>
        <item x="14"/>
        <item x="47"/>
        <item x="23"/>
        <item x="6"/>
        <item x="71"/>
        <item x="63"/>
        <item x="8"/>
        <item x="32"/>
        <item x="55"/>
        <item x="15"/>
        <item x="79"/>
        <item x="88"/>
        <item x="48"/>
        <item x="24"/>
        <item x="64"/>
        <item x="56"/>
        <item x="40"/>
        <item x="33"/>
        <item x="1"/>
        <item x="9"/>
        <item x="89"/>
        <item x="80"/>
        <item x="16"/>
        <item x="25"/>
        <item x="49"/>
        <item x="34"/>
        <item x="5"/>
        <item x="72"/>
        <item x="41"/>
        <item x="90"/>
        <item x="81"/>
        <item x="65"/>
        <item x="10"/>
        <item x="17"/>
        <item x="57"/>
        <item x="50"/>
        <item x="26"/>
        <item x="35"/>
        <item x="73"/>
        <item x="42"/>
        <item x="91"/>
        <item x="18"/>
        <item x="82"/>
        <item x="11"/>
        <item x="66"/>
        <item x="58"/>
        <item x="27"/>
        <item x="51"/>
        <item x="74"/>
        <item x="83"/>
        <item x="4"/>
        <item x="92"/>
        <item x="43"/>
        <item x="19"/>
        <item x="36"/>
        <item x="59"/>
        <item x="28"/>
        <item x="52"/>
        <item x="67"/>
        <item x="84"/>
        <item x="75"/>
        <item x="12"/>
        <item x="44"/>
        <item x="93"/>
        <item x="20"/>
        <item x="68"/>
        <item x="37"/>
        <item x="60"/>
        <item x="29"/>
        <item x="53"/>
        <item x="76"/>
        <item x="85"/>
        <item x="21"/>
        <item x="94"/>
        <item x="45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axis="axisPage" showAll="0">
      <items count="5">
        <item x="3"/>
        <item x="1"/>
        <item x="2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>
      <items count="9">
        <item x="4"/>
        <item x="7"/>
        <item x="3"/>
        <item x="5"/>
        <item x="6"/>
        <item x="1"/>
        <item x="2"/>
        <item x="0"/>
        <item t="default"/>
      </items>
    </pivotField>
  </pivotFields>
  <rowFields count="1">
    <field x="2"/>
  </rowFields>
  <rowItems count="2">
    <i>
      <x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864C59-1EA3-4CE7-9A40-3B91931AC099}" name="tbl_easeason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30:B32" firstHeaderRow="1" firstDataRow="1" firstDataCol="1" rowPageCount="1" colPageCount="1"/>
  <pivotFields count="13">
    <pivotField showAll="0"/>
    <pivotField showAll="0">
      <items count="97">
        <item x="30"/>
        <item x="69"/>
        <item x="38"/>
        <item x="2"/>
        <item x="54"/>
        <item x="61"/>
        <item x="13"/>
        <item x="86"/>
        <item x="77"/>
        <item x="3"/>
        <item x="22"/>
        <item x="95"/>
        <item x="46"/>
        <item x="7"/>
        <item x="62"/>
        <item x="31"/>
        <item x="70"/>
        <item x="39"/>
        <item x="87"/>
        <item x="78"/>
        <item x="14"/>
        <item x="47"/>
        <item x="23"/>
        <item x="6"/>
        <item x="71"/>
        <item x="63"/>
        <item x="8"/>
        <item x="32"/>
        <item x="55"/>
        <item x="15"/>
        <item x="79"/>
        <item x="88"/>
        <item x="48"/>
        <item x="24"/>
        <item x="64"/>
        <item x="56"/>
        <item x="40"/>
        <item x="33"/>
        <item x="1"/>
        <item x="9"/>
        <item x="89"/>
        <item x="80"/>
        <item x="16"/>
        <item x="25"/>
        <item x="49"/>
        <item x="34"/>
        <item x="5"/>
        <item x="72"/>
        <item x="41"/>
        <item x="90"/>
        <item x="81"/>
        <item x="65"/>
        <item x="10"/>
        <item x="17"/>
        <item x="57"/>
        <item x="50"/>
        <item x="26"/>
        <item x="35"/>
        <item x="73"/>
        <item x="42"/>
        <item x="91"/>
        <item x="18"/>
        <item x="82"/>
        <item x="11"/>
        <item x="66"/>
        <item x="58"/>
        <item x="27"/>
        <item x="51"/>
        <item x="74"/>
        <item x="83"/>
        <item x="4"/>
        <item x="92"/>
        <item x="43"/>
        <item x="19"/>
        <item x="36"/>
        <item x="59"/>
        <item x="28"/>
        <item x="52"/>
        <item x="67"/>
        <item x="84"/>
        <item x="75"/>
        <item x="12"/>
        <item x="44"/>
        <item x="93"/>
        <item x="20"/>
        <item x="68"/>
        <item x="37"/>
        <item x="60"/>
        <item x="29"/>
        <item x="53"/>
        <item x="76"/>
        <item x="85"/>
        <item x="21"/>
        <item x="94"/>
        <item x="45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axis="axisPage" showAll="0">
      <items count="5">
        <item x="3"/>
        <item x="1"/>
        <item x="2"/>
        <item x="0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>
      <items count="9">
        <item x="4"/>
        <item x="7"/>
        <item x="3"/>
        <item x="5"/>
        <item x="6"/>
        <item x="1"/>
        <item x="2"/>
        <item x="0"/>
        <item t="default"/>
      </items>
    </pivotField>
  </pivotFields>
  <rowFields count="1">
    <field x="2"/>
  </rowFields>
  <rowItems count="2">
    <i>
      <x/>
    </i>
    <i t="grand">
      <x/>
    </i>
  </rowItems>
  <colItems count="1">
    <i/>
  </colItems>
  <pageFields count="1">
    <pageField fld="6" item="0" hier="-1"/>
  </pageFields>
  <dataFields count="1">
    <dataField name="Soma de EA Play Season Pass2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04562B-437E-4E0C-BDA8-7A05301CED5A}" name="tbl_annua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6:B9" firstHeaderRow="1" firstDataRow="1" firstDataCol="1" rowPageCount="1" colPageCount="1"/>
  <pivotFields count="13">
    <pivotField showAll="0"/>
    <pivotField showAll="0">
      <items count="97">
        <item x="30"/>
        <item x="69"/>
        <item x="38"/>
        <item x="2"/>
        <item x="54"/>
        <item x="61"/>
        <item x="13"/>
        <item x="86"/>
        <item x="77"/>
        <item x="3"/>
        <item x="22"/>
        <item x="95"/>
        <item x="46"/>
        <item x="7"/>
        <item x="62"/>
        <item x="31"/>
        <item x="70"/>
        <item x="39"/>
        <item x="87"/>
        <item x="78"/>
        <item x="14"/>
        <item x="47"/>
        <item x="23"/>
        <item x="6"/>
        <item x="71"/>
        <item x="63"/>
        <item x="8"/>
        <item x="32"/>
        <item x="55"/>
        <item x="15"/>
        <item x="79"/>
        <item x="88"/>
        <item x="48"/>
        <item x="24"/>
        <item x="64"/>
        <item x="56"/>
        <item x="40"/>
        <item x="33"/>
        <item x="1"/>
        <item x="9"/>
        <item x="89"/>
        <item x="80"/>
        <item x="16"/>
        <item x="25"/>
        <item x="49"/>
        <item x="34"/>
        <item x="5"/>
        <item x="72"/>
        <item x="41"/>
        <item x="90"/>
        <item x="81"/>
        <item x="65"/>
        <item x="10"/>
        <item x="17"/>
        <item x="57"/>
        <item x="50"/>
        <item x="26"/>
        <item x="35"/>
        <item x="73"/>
        <item x="42"/>
        <item x="91"/>
        <item x="18"/>
        <item x="82"/>
        <item x="11"/>
        <item x="66"/>
        <item x="58"/>
        <item x="27"/>
        <item x="51"/>
        <item x="74"/>
        <item x="83"/>
        <item x="4"/>
        <item x="92"/>
        <item x="43"/>
        <item x="19"/>
        <item x="36"/>
        <item x="59"/>
        <item x="28"/>
        <item x="52"/>
        <item x="67"/>
        <item x="84"/>
        <item x="75"/>
        <item x="12"/>
        <item x="44"/>
        <item x="93"/>
        <item x="20"/>
        <item x="68"/>
        <item x="37"/>
        <item x="60"/>
        <item x="29"/>
        <item x="53"/>
        <item x="76"/>
        <item x="85"/>
        <item x="21"/>
        <item x="94"/>
        <item x="45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axis="axisPage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showAll="0">
      <items count="9">
        <item x="4"/>
        <item x="7"/>
        <item x="3"/>
        <item x="5"/>
        <item x="6"/>
        <item x="1"/>
        <item x="2"/>
        <item x="0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6" baseItem="2" numFmtId="164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D7176D2-BD77-436B-A1E0-399BD49E0FF1}" sourceName="Subscription Type">
  <pivotTables>
    <pivotTable tabId="3" name="tbl_annual"/>
    <pivotTable tabId="3" name="tbl_easeason"/>
    <pivotTable tabId="3" name="tbl_minecraft"/>
  </pivotTables>
  <data>
    <tabular pivotCacheId="437009245">
      <items count="4">
        <i x="3" s="1"/>
        <i x="1"/>
        <i x="2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6700E90-D31F-46E4-990D-5C71877E9B5B}" cache="SegmentaçãodeDados_Subscription_Type" caption="Subscription Type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57483846-DFAB-4136-BE6F-E5ACA9EC7199}" cache="SegmentaçãodeDados_Subscription_Type" caption="Subscription Type" style="SlicerStyleLight6 2" rowHeight="24130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F976A-9560-4E58-A718-01CD95CB050F}">
  <dimension ref="A1"/>
  <sheetViews>
    <sheetView workbookViewId="0">
      <selection activeCell="J38" sqref="J38:K4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81BC-D2F3-44FD-8B8D-740427D74051}">
  <sheetPr filterMode="1"/>
  <dimension ref="A1:M100"/>
  <sheetViews>
    <sheetView workbookViewId="0">
      <selection activeCell="H1" sqref="H1:H2"/>
    </sheetView>
  </sheetViews>
  <sheetFormatPr defaultRowHeight="15" x14ac:dyDescent="0.25"/>
  <cols>
    <col min="1" max="1" width="13.28515625" customWidth="1"/>
    <col min="2" max="2" width="16.140625" customWidth="1"/>
    <col min="3" max="3" width="11.140625" customWidth="1"/>
    <col min="4" max="4" width="15" customWidth="1"/>
    <col min="5" max="5" width="15.85546875" customWidth="1"/>
    <col min="6" max="6" width="22.140625" customWidth="1"/>
    <col min="7" max="7" width="15" customWidth="1"/>
    <col min="8" max="8" width="18.140625" customWidth="1"/>
    <col min="9" max="9" width="19.85546875" customWidth="1"/>
    <col min="10" max="10" width="17.5703125" customWidth="1"/>
    <col min="11" max="11" width="20.7109375" customWidth="1"/>
    <col min="12" max="12" width="17.85546875" customWidth="1"/>
    <col min="13" max="13" width="16.7109375" customWidth="1"/>
  </cols>
  <sheetData>
    <row r="1" spans="1:13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" t="s">
        <v>7</v>
      </c>
      <c r="J1" s="12" t="s">
        <v>9</v>
      </c>
      <c r="K1" s="12" t="s">
        <v>10</v>
      </c>
      <c r="L1" s="12" t="s">
        <v>11</v>
      </c>
      <c r="M1" s="12" t="s">
        <v>12</v>
      </c>
    </row>
    <row r="2" spans="1:13" hidden="1" x14ac:dyDescent="0.25">
      <c r="A2" s="12"/>
      <c r="B2" s="12"/>
      <c r="C2" s="12"/>
      <c r="D2" s="12"/>
      <c r="E2" s="12"/>
      <c r="F2" s="12"/>
      <c r="G2" s="12"/>
      <c r="H2" s="12"/>
      <c r="I2" s="1" t="s">
        <v>8</v>
      </c>
      <c r="J2" s="12"/>
      <c r="K2" s="12"/>
      <c r="L2" s="12"/>
      <c r="M2" s="12"/>
    </row>
    <row r="3" spans="1:13" x14ac:dyDescent="0.25">
      <c r="A3" s="2">
        <v>3231</v>
      </c>
      <c r="B3" s="2" t="s">
        <v>13</v>
      </c>
      <c r="C3" s="2" t="s">
        <v>14</v>
      </c>
      <c r="D3" s="3">
        <v>45292</v>
      </c>
      <c r="E3" s="2" t="s">
        <v>15</v>
      </c>
      <c r="F3" s="4">
        <v>15</v>
      </c>
      <c r="G3" s="2" t="s">
        <v>16</v>
      </c>
      <c r="H3" s="2" t="s">
        <v>15</v>
      </c>
      <c r="I3" s="4">
        <v>30</v>
      </c>
      <c r="J3" s="2" t="s">
        <v>15</v>
      </c>
      <c r="K3" s="4">
        <v>20</v>
      </c>
      <c r="L3" s="4">
        <v>5</v>
      </c>
      <c r="M3" s="4">
        <v>60</v>
      </c>
    </row>
    <row r="4" spans="1:13" x14ac:dyDescent="0.25">
      <c r="A4" s="2">
        <v>3234</v>
      </c>
      <c r="B4" s="2" t="s">
        <v>17</v>
      </c>
      <c r="C4" s="2" t="s">
        <v>14</v>
      </c>
      <c r="D4" s="3">
        <v>45342</v>
      </c>
      <c r="E4" s="2" t="s">
        <v>18</v>
      </c>
      <c r="F4" s="4">
        <v>15</v>
      </c>
      <c r="G4" s="2" t="s">
        <v>16</v>
      </c>
      <c r="H4" s="2" t="s">
        <v>15</v>
      </c>
      <c r="I4" s="4">
        <v>30</v>
      </c>
      <c r="J4" s="2" t="s">
        <v>15</v>
      </c>
      <c r="K4" s="4">
        <v>20</v>
      </c>
      <c r="L4" s="4">
        <v>3</v>
      </c>
      <c r="M4" s="4">
        <v>62</v>
      </c>
    </row>
    <row r="5" spans="1:13" x14ac:dyDescent="0.25">
      <c r="A5" s="2">
        <v>3237</v>
      </c>
      <c r="B5" s="2" t="s">
        <v>19</v>
      </c>
      <c r="C5" s="2" t="s">
        <v>14</v>
      </c>
      <c r="D5" s="3">
        <v>45354</v>
      </c>
      <c r="E5" s="2" t="s">
        <v>15</v>
      </c>
      <c r="F5" s="4">
        <v>15</v>
      </c>
      <c r="G5" s="2" t="s">
        <v>20</v>
      </c>
      <c r="H5" s="2" t="s">
        <v>15</v>
      </c>
      <c r="I5" s="4">
        <v>30</v>
      </c>
      <c r="J5" s="2" t="s">
        <v>15</v>
      </c>
      <c r="K5" s="4">
        <v>20</v>
      </c>
      <c r="L5" s="4">
        <v>10</v>
      </c>
      <c r="M5" s="4">
        <v>55</v>
      </c>
    </row>
    <row r="6" spans="1:13" x14ac:dyDescent="0.25">
      <c r="A6" s="2">
        <v>3239</v>
      </c>
      <c r="B6" s="2" t="s">
        <v>21</v>
      </c>
      <c r="C6" s="2" t="s">
        <v>14</v>
      </c>
      <c r="D6" s="3">
        <v>45356</v>
      </c>
      <c r="E6" s="2" t="s">
        <v>18</v>
      </c>
      <c r="F6" s="4">
        <v>15</v>
      </c>
      <c r="G6" s="2" t="s">
        <v>16</v>
      </c>
      <c r="H6" s="2" t="s">
        <v>15</v>
      </c>
      <c r="I6" s="4">
        <v>30</v>
      </c>
      <c r="J6" s="2" t="s">
        <v>15</v>
      </c>
      <c r="K6" s="4">
        <v>20</v>
      </c>
      <c r="L6" s="4">
        <v>5</v>
      </c>
      <c r="M6" s="4">
        <v>60</v>
      </c>
    </row>
    <row r="7" spans="1:13" x14ac:dyDescent="0.25">
      <c r="A7" s="2">
        <v>3242</v>
      </c>
      <c r="B7" s="2" t="s">
        <v>22</v>
      </c>
      <c r="C7" s="2" t="s">
        <v>14</v>
      </c>
      <c r="D7" s="3">
        <v>45359</v>
      </c>
      <c r="E7" s="2" t="s">
        <v>15</v>
      </c>
      <c r="F7" s="4">
        <v>15</v>
      </c>
      <c r="G7" s="2" t="s">
        <v>23</v>
      </c>
      <c r="H7" s="2" t="s">
        <v>15</v>
      </c>
      <c r="I7" s="4">
        <v>30</v>
      </c>
      <c r="J7" s="2" t="s">
        <v>15</v>
      </c>
      <c r="K7" s="4">
        <v>20</v>
      </c>
      <c r="L7" s="4">
        <v>20</v>
      </c>
      <c r="M7" s="4">
        <v>45</v>
      </c>
    </row>
    <row r="8" spans="1:13" x14ac:dyDescent="0.25">
      <c r="A8" s="2">
        <v>3245</v>
      </c>
      <c r="B8" s="2" t="s">
        <v>24</v>
      </c>
      <c r="C8" s="2" t="s">
        <v>14</v>
      </c>
      <c r="D8" s="3">
        <v>45362</v>
      </c>
      <c r="E8" s="2" t="s">
        <v>18</v>
      </c>
      <c r="F8" s="4">
        <v>15</v>
      </c>
      <c r="G8" s="2" t="s">
        <v>16</v>
      </c>
      <c r="H8" s="2" t="s">
        <v>15</v>
      </c>
      <c r="I8" s="4">
        <v>30</v>
      </c>
      <c r="J8" s="2" t="s">
        <v>15</v>
      </c>
      <c r="K8" s="4">
        <v>20</v>
      </c>
      <c r="L8" s="4">
        <v>8</v>
      </c>
      <c r="M8" s="4">
        <v>57</v>
      </c>
    </row>
    <row r="9" spans="1:13" x14ac:dyDescent="0.25">
      <c r="A9" s="2">
        <v>3248</v>
      </c>
      <c r="B9" s="2" t="s">
        <v>25</v>
      </c>
      <c r="C9" s="2" t="s">
        <v>14</v>
      </c>
      <c r="D9" s="3">
        <v>45365</v>
      </c>
      <c r="E9" s="2" t="s">
        <v>15</v>
      </c>
      <c r="F9" s="4">
        <v>15</v>
      </c>
      <c r="G9" s="2" t="s">
        <v>20</v>
      </c>
      <c r="H9" s="2" t="s">
        <v>15</v>
      </c>
      <c r="I9" s="4">
        <v>30</v>
      </c>
      <c r="J9" s="2" t="s">
        <v>15</v>
      </c>
      <c r="K9" s="4">
        <v>20</v>
      </c>
      <c r="L9" s="4">
        <v>7</v>
      </c>
      <c r="M9" s="4">
        <v>58</v>
      </c>
    </row>
    <row r="10" spans="1:13" x14ac:dyDescent="0.25">
      <c r="A10" s="2">
        <v>3251</v>
      </c>
      <c r="B10" s="2" t="s">
        <v>26</v>
      </c>
      <c r="C10" s="2" t="s">
        <v>14</v>
      </c>
      <c r="D10" s="3">
        <v>45368</v>
      </c>
      <c r="E10" s="2" t="s">
        <v>18</v>
      </c>
      <c r="F10" s="4">
        <v>15</v>
      </c>
      <c r="G10" s="2" t="s">
        <v>16</v>
      </c>
      <c r="H10" s="2" t="s">
        <v>15</v>
      </c>
      <c r="I10" s="4">
        <v>30</v>
      </c>
      <c r="J10" s="2" t="s">
        <v>15</v>
      </c>
      <c r="K10" s="4">
        <v>20</v>
      </c>
      <c r="L10" s="4">
        <v>3</v>
      </c>
      <c r="M10" s="4">
        <v>62</v>
      </c>
    </row>
    <row r="11" spans="1:13" ht="30" x14ac:dyDescent="0.25">
      <c r="A11" s="2">
        <v>3254</v>
      </c>
      <c r="B11" s="2" t="s">
        <v>27</v>
      </c>
      <c r="C11" s="2" t="s">
        <v>14</v>
      </c>
      <c r="D11" s="3">
        <v>45371</v>
      </c>
      <c r="E11" s="2" t="s">
        <v>15</v>
      </c>
      <c r="F11" s="4">
        <v>15</v>
      </c>
      <c r="G11" s="2" t="s">
        <v>23</v>
      </c>
      <c r="H11" s="2" t="s">
        <v>15</v>
      </c>
      <c r="I11" s="4">
        <v>30</v>
      </c>
      <c r="J11" s="2" t="s">
        <v>15</v>
      </c>
      <c r="K11" s="4">
        <v>20</v>
      </c>
      <c r="L11" s="4">
        <v>20</v>
      </c>
      <c r="M11" s="4">
        <v>45</v>
      </c>
    </row>
    <row r="12" spans="1:13" x14ac:dyDescent="0.25">
      <c r="A12" s="2">
        <v>3257</v>
      </c>
      <c r="B12" s="2" t="s">
        <v>28</v>
      </c>
      <c r="C12" s="2" t="s">
        <v>14</v>
      </c>
      <c r="D12" s="3">
        <v>45374</v>
      </c>
      <c r="E12" s="2" t="s">
        <v>18</v>
      </c>
      <c r="F12" s="4">
        <v>15</v>
      </c>
      <c r="G12" s="2" t="s">
        <v>16</v>
      </c>
      <c r="H12" s="2" t="s">
        <v>15</v>
      </c>
      <c r="I12" s="4">
        <v>30</v>
      </c>
      <c r="J12" s="2" t="s">
        <v>15</v>
      </c>
      <c r="K12" s="4">
        <v>20</v>
      </c>
      <c r="L12" s="4">
        <v>5</v>
      </c>
      <c r="M12" s="4">
        <v>60</v>
      </c>
    </row>
    <row r="13" spans="1:13" x14ac:dyDescent="0.25">
      <c r="A13" s="2">
        <v>3260</v>
      </c>
      <c r="B13" s="2" t="s">
        <v>29</v>
      </c>
      <c r="C13" s="2" t="s">
        <v>14</v>
      </c>
      <c r="D13" s="3">
        <v>45377</v>
      </c>
      <c r="E13" s="2" t="s">
        <v>15</v>
      </c>
      <c r="F13" s="4">
        <v>15</v>
      </c>
      <c r="G13" s="2" t="s">
        <v>20</v>
      </c>
      <c r="H13" s="2" t="s">
        <v>15</v>
      </c>
      <c r="I13" s="4">
        <v>30</v>
      </c>
      <c r="J13" s="2" t="s">
        <v>15</v>
      </c>
      <c r="K13" s="4">
        <v>20</v>
      </c>
      <c r="L13" s="4">
        <v>7</v>
      </c>
      <c r="M13" s="4">
        <v>58</v>
      </c>
    </row>
    <row r="14" spans="1:13" x14ac:dyDescent="0.25">
      <c r="A14" s="2">
        <v>3263</v>
      </c>
      <c r="B14" s="2" t="s">
        <v>30</v>
      </c>
      <c r="C14" s="2" t="s">
        <v>14</v>
      </c>
      <c r="D14" s="3">
        <v>45380</v>
      </c>
      <c r="E14" s="2" t="s">
        <v>18</v>
      </c>
      <c r="F14" s="4">
        <v>15</v>
      </c>
      <c r="G14" s="2" t="s">
        <v>16</v>
      </c>
      <c r="H14" s="2" t="s">
        <v>15</v>
      </c>
      <c r="I14" s="4">
        <v>30</v>
      </c>
      <c r="J14" s="2" t="s">
        <v>15</v>
      </c>
      <c r="K14" s="4">
        <v>20</v>
      </c>
      <c r="L14" s="4">
        <v>3</v>
      </c>
      <c r="M14" s="4">
        <v>62</v>
      </c>
    </row>
    <row r="15" spans="1:13" ht="30" x14ac:dyDescent="0.25">
      <c r="A15" s="2">
        <v>3267</v>
      </c>
      <c r="B15" s="2" t="s">
        <v>31</v>
      </c>
      <c r="C15" s="2" t="s">
        <v>14</v>
      </c>
      <c r="D15" s="3">
        <v>45384</v>
      </c>
      <c r="E15" s="2" t="s">
        <v>18</v>
      </c>
      <c r="F15" s="4">
        <v>15</v>
      </c>
      <c r="G15" s="2" t="s">
        <v>20</v>
      </c>
      <c r="H15" s="2" t="s">
        <v>15</v>
      </c>
      <c r="I15" s="4">
        <v>30</v>
      </c>
      <c r="J15" s="2" t="s">
        <v>15</v>
      </c>
      <c r="K15" s="4">
        <v>20</v>
      </c>
      <c r="L15" s="4">
        <v>7</v>
      </c>
      <c r="M15" s="4">
        <v>58</v>
      </c>
    </row>
    <row r="16" spans="1:13" x14ac:dyDescent="0.25">
      <c r="A16" s="2">
        <v>3270</v>
      </c>
      <c r="B16" s="2" t="s">
        <v>32</v>
      </c>
      <c r="C16" s="2" t="s">
        <v>14</v>
      </c>
      <c r="D16" s="3">
        <v>45387</v>
      </c>
      <c r="E16" s="2" t="s">
        <v>15</v>
      </c>
      <c r="F16" s="4">
        <v>15</v>
      </c>
      <c r="G16" s="2" t="s">
        <v>16</v>
      </c>
      <c r="H16" s="2" t="s">
        <v>15</v>
      </c>
      <c r="I16" s="4">
        <v>30</v>
      </c>
      <c r="J16" s="2" t="s">
        <v>15</v>
      </c>
      <c r="K16" s="4">
        <v>20</v>
      </c>
      <c r="L16" s="4">
        <v>15</v>
      </c>
      <c r="M16" s="4">
        <v>50</v>
      </c>
    </row>
    <row r="17" spans="1:13" x14ac:dyDescent="0.25">
      <c r="A17" s="2">
        <v>3273</v>
      </c>
      <c r="B17" s="2" t="s">
        <v>33</v>
      </c>
      <c r="C17" s="2" t="s">
        <v>14</v>
      </c>
      <c r="D17" s="3">
        <v>45390</v>
      </c>
      <c r="E17" s="2" t="s">
        <v>18</v>
      </c>
      <c r="F17" s="4">
        <v>15</v>
      </c>
      <c r="G17" s="2" t="s">
        <v>20</v>
      </c>
      <c r="H17" s="2" t="s">
        <v>15</v>
      </c>
      <c r="I17" s="4">
        <v>30</v>
      </c>
      <c r="J17" s="2" t="s">
        <v>15</v>
      </c>
      <c r="K17" s="4">
        <v>20</v>
      </c>
      <c r="L17" s="4">
        <v>20</v>
      </c>
      <c r="M17" s="4">
        <v>45</v>
      </c>
    </row>
    <row r="18" spans="1:13" x14ac:dyDescent="0.25">
      <c r="A18" s="2">
        <v>3276</v>
      </c>
      <c r="B18" s="2" t="s">
        <v>34</v>
      </c>
      <c r="C18" s="2" t="s">
        <v>14</v>
      </c>
      <c r="D18" s="3">
        <v>45393</v>
      </c>
      <c r="E18" s="2" t="s">
        <v>15</v>
      </c>
      <c r="F18" s="4">
        <v>15</v>
      </c>
      <c r="G18" s="2" t="s">
        <v>23</v>
      </c>
      <c r="H18" s="2" t="s">
        <v>15</v>
      </c>
      <c r="I18" s="4">
        <v>30</v>
      </c>
      <c r="J18" s="2" t="s">
        <v>15</v>
      </c>
      <c r="K18" s="4">
        <v>20</v>
      </c>
      <c r="L18" s="4">
        <v>5</v>
      </c>
      <c r="M18" s="4">
        <v>60</v>
      </c>
    </row>
    <row r="19" spans="1:13" x14ac:dyDescent="0.25">
      <c r="A19" s="2">
        <v>3279</v>
      </c>
      <c r="B19" s="2" t="s">
        <v>35</v>
      </c>
      <c r="C19" s="2" t="s">
        <v>14</v>
      </c>
      <c r="D19" s="3">
        <v>45396</v>
      </c>
      <c r="E19" s="2" t="s">
        <v>18</v>
      </c>
      <c r="F19" s="4">
        <v>15</v>
      </c>
      <c r="G19" s="2" t="s">
        <v>16</v>
      </c>
      <c r="H19" s="2" t="s">
        <v>15</v>
      </c>
      <c r="I19" s="4">
        <v>30</v>
      </c>
      <c r="J19" s="2" t="s">
        <v>15</v>
      </c>
      <c r="K19" s="4">
        <v>20</v>
      </c>
      <c r="L19" s="4">
        <v>3</v>
      </c>
      <c r="M19" s="4">
        <v>62</v>
      </c>
    </row>
    <row r="20" spans="1:13" ht="30" x14ac:dyDescent="0.25">
      <c r="A20" s="2">
        <v>3282</v>
      </c>
      <c r="B20" s="2" t="s">
        <v>36</v>
      </c>
      <c r="C20" s="2" t="s">
        <v>14</v>
      </c>
      <c r="D20" s="3">
        <v>45399</v>
      </c>
      <c r="E20" s="2" t="s">
        <v>15</v>
      </c>
      <c r="F20" s="4">
        <v>15</v>
      </c>
      <c r="G20" s="2" t="s">
        <v>20</v>
      </c>
      <c r="H20" s="2" t="s">
        <v>15</v>
      </c>
      <c r="I20" s="4">
        <v>30</v>
      </c>
      <c r="J20" s="2" t="s">
        <v>15</v>
      </c>
      <c r="K20" s="4">
        <v>20</v>
      </c>
      <c r="L20" s="4">
        <v>7</v>
      </c>
      <c r="M20" s="4">
        <v>58</v>
      </c>
    </row>
    <row r="21" spans="1:13" x14ac:dyDescent="0.25">
      <c r="A21" s="2">
        <v>3285</v>
      </c>
      <c r="B21" s="2" t="s">
        <v>37</v>
      </c>
      <c r="C21" s="2" t="s">
        <v>14</v>
      </c>
      <c r="D21" s="3">
        <v>45402</v>
      </c>
      <c r="E21" s="2" t="s">
        <v>18</v>
      </c>
      <c r="F21" s="4">
        <v>15</v>
      </c>
      <c r="G21" s="2" t="s">
        <v>16</v>
      </c>
      <c r="H21" s="2" t="s">
        <v>15</v>
      </c>
      <c r="I21" s="4">
        <v>30</v>
      </c>
      <c r="J21" s="2" t="s">
        <v>15</v>
      </c>
      <c r="K21" s="4">
        <v>20</v>
      </c>
      <c r="L21" s="4">
        <v>20</v>
      </c>
      <c r="M21" s="4">
        <v>45</v>
      </c>
    </row>
    <row r="22" spans="1:13" x14ac:dyDescent="0.25">
      <c r="A22" s="2">
        <v>3288</v>
      </c>
      <c r="B22" s="2" t="s">
        <v>38</v>
      </c>
      <c r="C22" s="2" t="s">
        <v>14</v>
      </c>
      <c r="D22" s="3">
        <v>45405</v>
      </c>
      <c r="E22" s="2" t="s">
        <v>15</v>
      </c>
      <c r="F22" s="4">
        <v>15</v>
      </c>
      <c r="G22" s="2" t="s">
        <v>23</v>
      </c>
      <c r="H22" s="2" t="s">
        <v>15</v>
      </c>
      <c r="I22" s="4">
        <v>30</v>
      </c>
      <c r="J22" s="2" t="s">
        <v>15</v>
      </c>
      <c r="K22" s="4">
        <v>20</v>
      </c>
      <c r="L22" s="4">
        <v>3</v>
      </c>
      <c r="M22" s="4">
        <v>62</v>
      </c>
    </row>
    <row r="23" spans="1:13" x14ac:dyDescent="0.25">
      <c r="A23" s="2">
        <v>3291</v>
      </c>
      <c r="B23" s="2" t="s">
        <v>39</v>
      </c>
      <c r="C23" s="2" t="s">
        <v>14</v>
      </c>
      <c r="D23" s="3">
        <v>45408</v>
      </c>
      <c r="E23" s="2" t="s">
        <v>18</v>
      </c>
      <c r="F23" s="4">
        <v>15</v>
      </c>
      <c r="G23" s="2" t="s">
        <v>16</v>
      </c>
      <c r="H23" s="2" t="s">
        <v>15</v>
      </c>
      <c r="I23" s="4">
        <v>30</v>
      </c>
      <c r="J23" s="2" t="s">
        <v>15</v>
      </c>
      <c r="K23" s="4">
        <v>20</v>
      </c>
      <c r="L23" s="4">
        <v>5</v>
      </c>
      <c r="M23" s="4">
        <v>60</v>
      </c>
    </row>
    <row r="24" spans="1:13" x14ac:dyDescent="0.25">
      <c r="A24" s="2">
        <v>3294</v>
      </c>
      <c r="B24" s="2" t="s">
        <v>40</v>
      </c>
      <c r="C24" s="2" t="s">
        <v>14</v>
      </c>
      <c r="D24" s="3">
        <v>45411</v>
      </c>
      <c r="E24" s="2" t="s">
        <v>15</v>
      </c>
      <c r="F24" s="4">
        <v>15</v>
      </c>
      <c r="G24" s="2" t="s">
        <v>20</v>
      </c>
      <c r="H24" s="2" t="s">
        <v>15</v>
      </c>
      <c r="I24" s="4">
        <v>30</v>
      </c>
      <c r="J24" s="2" t="s">
        <v>15</v>
      </c>
      <c r="K24" s="4">
        <v>20</v>
      </c>
      <c r="L24" s="4">
        <v>20</v>
      </c>
      <c r="M24" s="4">
        <v>45</v>
      </c>
    </row>
    <row r="25" spans="1:13" x14ac:dyDescent="0.25">
      <c r="A25" s="2">
        <v>3297</v>
      </c>
      <c r="B25" s="2" t="s">
        <v>41</v>
      </c>
      <c r="C25" s="2" t="s">
        <v>14</v>
      </c>
      <c r="D25" s="3">
        <v>45414</v>
      </c>
      <c r="E25" s="2" t="s">
        <v>15</v>
      </c>
      <c r="F25" s="4">
        <v>15</v>
      </c>
      <c r="G25" s="2" t="s">
        <v>20</v>
      </c>
      <c r="H25" s="2" t="s">
        <v>15</v>
      </c>
      <c r="I25" s="4">
        <v>30</v>
      </c>
      <c r="J25" s="2" t="s">
        <v>15</v>
      </c>
      <c r="K25" s="4">
        <v>20</v>
      </c>
      <c r="L25" s="4">
        <v>7</v>
      </c>
      <c r="M25" s="4">
        <v>58</v>
      </c>
    </row>
    <row r="26" spans="1:13" x14ac:dyDescent="0.25">
      <c r="A26" s="2">
        <v>3300</v>
      </c>
      <c r="B26" s="2" t="s">
        <v>42</v>
      </c>
      <c r="C26" s="2" t="s">
        <v>14</v>
      </c>
      <c r="D26" s="3">
        <v>45417</v>
      </c>
      <c r="E26" s="2" t="s">
        <v>18</v>
      </c>
      <c r="F26" s="4">
        <v>15</v>
      </c>
      <c r="G26" s="2" t="s">
        <v>16</v>
      </c>
      <c r="H26" s="2" t="s">
        <v>15</v>
      </c>
      <c r="I26" s="4">
        <v>30</v>
      </c>
      <c r="J26" s="2" t="s">
        <v>15</v>
      </c>
      <c r="K26" s="4">
        <v>20</v>
      </c>
      <c r="L26" s="4">
        <v>15</v>
      </c>
      <c r="M26" s="4">
        <v>50</v>
      </c>
    </row>
    <row r="27" spans="1:13" x14ac:dyDescent="0.25">
      <c r="A27" s="2">
        <v>3303</v>
      </c>
      <c r="B27" s="2" t="s">
        <v>43</v>
      </c>
      <c r="C27" s="2" t="s">
        <v>14</v>
      </c>
      <c r="D27" s="3">
        <v>45420</v>
      </c>
      <c r="E27" s="2" t="s">
        <v>15</v>
      </c>
      <c r="F27" s="4">
        <v>15</v>
      </c>
      <c r="G27" s="2" t="s">
        <v>20</v>
      </c>
      <c r="H27" s="2" t="s">
        <v>15</v>
      </c>
      <c r="I27" s="4">
        <v>30</v>
      </c>
      <c r="J27" s="2" t="s">
        <v>15</v>
      </c>
      <c r="K27" s="4">
        <v>20</v>
      </c>
      <c r="L27" s="4">
        <v>20</v>
      </c>
      <c r="M27" s="4">
        <v>45</v>
      </c>
    </row>
    <row r="28" spans="1:13" x14ac:dyDescent="0.25">
      <c r="A28" s="2">
        <v>3306</v>
      </c>
      <c r="B28" s="2" t="s">
        <v>44</v>
      </c>
      <c r="C28" s="2" t="s">
        <v>14</v>
      </c>
      <c r="D28" s="3">
        <v>45423</v>
      </c>
      <c r="E28" s="2" t="s">
        <v>18</v>
      </c>
      <c r="F28" s="4">
        <v>15</v>
      </c>
      <c r="G28" s="2" t="s">
        <v>23</v>
      </c>
      <c r="H28" s="2" t="s">
        <v>15</v>
      </c>
      <c r="I28" s="4">
        <v>30</v>
      </c>
      <c r="J28" s="2" t="s">
        <v>15</v>
      </c>
      <c r="K28" s="4">
        <v>20</v>
      </c>
      <c r="L28" s="4">
        <v>5</v>
      </c>
      <c r="M28" s="4">
        <v>60</v>
      </c>
    </row>
    <row r="29" spans="1:13" x14ac:dyDescent="0.25">
      <c r="A29" s="2">
        <v>3309</v>
      </c>
      <c r="B29" s="2" t="s">
        <v>45</v>
      </c>
      <c r="C29" s="2" t="s">
        <v>14</v>
      </c>
      <c r="D29" s="3">
        <v>45426</v>
      </c>
      <c r="E29" s="2" t="s">
        <v>15</v>
      </c>
      <c r="F29" s="4">
        <v>15</v>
      </c>
      <c r="G29" s="2" t="s">
        <v>16</v>
      </c>
      <c r="H29" s="2" t="s">
        <v>15</v>
      </c>
      <c r="I29" s="4">
        <v>30</v>
      </c>
      <c r="J29" s="2" t="s">
        <v>15</v>
      </c>
      <c r="K29" s="4">
        <v>20</v>
      </c>
      <c r="L29" s="4">
        <v>3</v>
      </c>
      <c r="M29" s="4">
        <v>62</v>
      </c>
    </row>
    <row r="30" spans="1:13" ht="30" x14ac:dyDescent="0.25">
      <c r="A30" s="2">
        <v>3312</v>
      </c>
      <c r="B30" s="2" t="s">
        <v>46</v>
      </c>
      <c r="C30" s="2" t="s">
        <v>14</v>
      </c>
      <c r="D30" s="3">
        <v>45429</v>
      </c>
      <c r="E30" s="2" t="s">
        <v>18</v>
      </c>
      <c r="F30" s="4">
        <v>15</v>
      </c>
      <c r="G30" s="2" t="s">
        <v>20</v>
      </c>
      <c r="H30" s="2" t="s">
        <v>15</v>
      </c>
      <c r="I30" s="4">
        <v>30</v>
      </c>
      <c r="J30" s="2" t="s">
        <v>15</v>
      </c>
      <c r="K30" s="4">
        <v>20</v>
      </c>
      <c r="L30" s="4">
        <v>7</v>
      </c>
      <c r="M30" s="4">
        <v>58</v>
      </c>
    </row>
    <row r="31" spans="1:13" x14ac:dyDescent="0.25">
      <c r="A31" s="2">
        <v>3315</v>
      </c>
      <c r="B31" s="2" t="s">
        <v>47</v>
      </c>
      <c r="C31" s="2" t="s">
        <v>14</v>
      </c>
      <c r="D31" s="3">
        <v>45432</v>
      </c>
      <c r="E31" s="2" t="s">
        <v>15</v>
      </c>
      <c r="F31" s="4">
        <v>15</v>
      </c>
      <c r="G31" s="2" t="s">
        <v>16</v>
      </c>
      <c r="H31" s="2" t="s">
        <v>15</v>
      </c>
      <c r="I31" s="4">
        <v>30</v>
      </c>
      <c r="J31" s="2" t="s">
        <v>15</v>
      </c>
      <c r="K31" s="4">
        <v>20</v>
      </c>
      <c r="L31" s="4">
        <v>20</v>
      </c>
      <c r="M31" s="4">
        <v>45</v>
      </c>
    </row>
    <row r="32" spans="1:13" x14ac:dyDescent="0.25">
      <c r="A32" s="2">
        <v>3318</v>
      </c>
      <c r="B32" s="2" t="s">
        <v>48</v>
      </c>
      <c r="C32" s="2" t="s">
        <v>14</v>
      </c>
      <c r="D32" s="3">
        <v>45435</v>
      </c>
      <c r="E32" s="2" t="s">
        <v>18</v>
      </c>
      <c r="F32" s="4">
        <v>15</v>
      </c>
      <c r="G32" s="2" t="s">
        <v>23</v>
      </c>
      <c r="H32" s="2" t="s">
        <v>15</v>
      </c>
      <c r="I32" s="4">
        <v>30</v>
      </c>
      <c r="J32" s="2" t="s">
        <v>15</v>
      </c>
      <c r="K32" s="4">
        <v>20</v>
      </c>
      <c r="L32" s="4">
        <v>3</v>
      </c>
      <c r="M32" s="4">
        <v>62</v>
      </c>
    </row>
    <row r="33" spans="1:13" x14ac:dyDescent="0.25">
      <c r="A33" s="2">
        <v>3321</v>
      </c>
      <c r="B33" s="2" t="s">
        <v>49</v>
      </c>
      <c r="C33" s="2" t="s">
        <v>14</v>
      </c>
      <c r="D33" s="3">
        <v>45438</v>
      </c>
      <c r="E33" s="2" t="s">
        <v>15</v>
      </c>
      <c r="F33" s="4">
        <v>15</v>
      </c>
      <c r="G33" s="2" t="s">
        <v>16</v>
      </c>
      <c r="H33" s="2" t="s">
        <v>15</v>
      </c>
      <c r="I33" s="4">
        <v>30</v>
      </c>
      <c r="J33" s="2" t="s">
        <v>15</v>
      </c>
      <c r="K33" s="4">
        <v>20</v>
      </c>
      <c r="L33" s="4">
        <v>5</v>
      </c>
      <c r="M33" s="4">
        <v>60</v>
      </c>
    </row>
    <row r="34" spans="1:13" x14ac:dyDescent="0.25">
      <c r="A34" s="2">
        <v>3324</v>
      </c>
      <c r="B34" s="2" t="s">
        <v>50</v>
      </c>
      <c r="C34" s="2" t="s">
        <v>14</v>
      </c>
      <c r="D34" s="3">
        <v>45441</v>
      </c>
      <c r="E34" s="2" t="s">
        <v>18</v>
      </c>
      <c r="F34" s="4">
        <v>15</v>
      </c>
      <c r="G34" s="2" t="s">
        <v>20</v>
      </c>
      <c r="H34" s="2" t="s">
        <v>15</v>
      </c>
      <c r="I34" s="4">
        <v>30</v>
      </c>
      <c r="J34" s="2" t="s">
        <v>15</v>
      </c>
      <c r="K34" s="4">
        <v>20</v>
      </c>
      <c r="L34" s="4">
        <v>20</v>
      </c>
      <c r="M34" s="4">
        <v>45</v>
      </c>
    </row>
    <row r="35" spans="1:13" ht="30" x14ac:dyDescent="0.25">
      <c r="A35" s="2">
        <v>3327</v>
      </c>
      <c r="B35" s="2" t="s">
        <v>51</v>
      </c>
      <c r="C35" s="2" t="s">
        <v>14</v>
      </c>
      <c r="D35" s="3">
        <v>45444</v>
      </c>
      <c r="E35" s="2" t="s">
        <v>15</v>
      </c>
      <c r="F35" s="4">
        <v>15</v>
      </c>
      <c r="G35" s="2" t="s">
        <v>16</v>
      </c>
      <c r="H35" s="2" t="s">
        <v>15</v>
      </c>
      <c r="I35" s="4">
        <v>30</v>
      </c>
      <c r="J35" s="2" t="s">
        <v>15</v>
      </c>
      <c r="K35" s="4">
        <v>20</v>
      </c>
      <c r="L35" s="4">
        <v>7</v>
      </c>
      <c r="M35" s="4">
        <v>58</v>
      </c>
    </row>
    <row r="36" spans="1:13" x14ac:dyDescent="0.25">
      <c r="A36" s="2">
        <v>3330</v>
      </c>
      <c r="B36" s="2" t="s">
        <v>52</v>
      </c>
      <c r="C36" s="2" t="s">
        <v>14</v>
      </c>
      <c r="D36" s="3">
        <v>45447</v>
      </c>
      <c r="E36" s="2" t="s">
        <v>18</v>
      </c>
      <c r="F36" s="4">
        <v>15</v>
      </c>
      <c r="G36" s="2" t="s">
        <v>16</v>
      </c>
      <c r="H36" s="2" t="s">
        <v>15</v>
      </c>
      <c r="I36" s="4">
        <v>30</v>
      </c>
      <c r="J36" s="2" t="s">
        <v>15</v>
      </c>
      <c r="K36" s="4">
        <v>20</v>
      </c>
      <c r="L36" s="4">
        <v>15</v>
      </c>
      <c r="M36" s="4">
        <v>50</v>
      </c>
    </row>
    <row r="37" spans="1:13" x14ac:dyDescent="0.25">
      <c r="A37" s="2">
        <v>3333</v>
      </c>
      <c r="B37" s="2" t="s">
        <v>53</v>
      </c>
      <c r="C37" s="2" t="s">
        <v>14</v>
      </c>
      <c r="D37" s="3">
        <v>45450</v>
      </c>
      <c r="E37" s="2" t="s">
        <v>15</v>
      </c>
      <c r="F37" s="4">
        <v>15</v>
      </c>
      <c r="G37" s="2" t="s">
        <v>20</v>
      </c>
      <c r="H37" s="2" t="s">
        <v>15</v>
      </c>
      <c r="I37" s="4">
        <v>30</v>
      </c>
      <c r="J37" s="2" t="s">
        <v>15</v>
      </c>
      <c r="K37" s="4">
        <v>20</v>
      </c>
      <c r="L37" s="4">
        <v>20</v>
      </c>
      <c r="M37" s="4">
        <v>45</v>
      </c>
    </row>
    <row r="38" spans="1:13" x14ac:dyDescent="0.25">
      <c r="A38" s="2">
        <v>3337</v>
      </c>
      <c r="B38" s="2" t="s">
        <v>54</v>
      </c>
      <c r="C38" s="2" t="s">
        <v>14</v>
      </c>
      <c r="D38" s="3">
        <v>45454</v>
      </c>
      <c r="E38" s="2" t="s">
        <v>18</v>
      </c>
      <c r="F38" s="4">
        <v>15</v>
      </c>
      <c r="G38" s="2" t="s">
        <v>20</v>
      </c>
      <c r="H38" s="2" t="s">
        <v>15</v>
      </c>
      <c r="I38" s="4">
        <v>30</v>
      </c>
      <c r="J38" s="2" t="s">
        <v>15</v>
      </c>
      <c r="K38" s="4">
        <v>20</v>
      </c>
      <c r="L38" s="4">
        <v>7</v>
      </c>
      <c r="M38" s="4">
        <v>58</v>
      </c>
    </row>
    <row r="39" spans="1:13" ht="30" x14ac:dyDescent="0.25">
      <c r="A39" s="2">
        <v>3340</v>
      </c>
      <c r="B39" s="2" t="s">
        <v>55</v>
      </c>
      <c r="C39" s="2" t="s">
        <v>14</v>
      </c>
      <c r="D39" s="3">
        <v>45457</v>
      </c>
      <c r="E39" s="2" t="s">
        <v>15</v>
      </c>
      <c r="F39" s="4">
        <v>15</v>
      </c>
      <c r="G39" s="2" t="s">
        <v>16</v>
      </c>
      <c r="H39" s="2" t="s">
        <v>15</v>
      </c>
      <c r="I39" s="4">
        <v>30</v>
      </c>
      <c r="J39" s="2" t="s">
        <v>15</v>
      </c>
      <c r="K39" s="4">
        <v>20</v>
      </c>
      <c r="L39" s="4">
        <v>15</v>
      </c>
      <c r="M39" s="4">
        <v>50</v>
      </c>
    </row>
    <row r="40" spans="1:13" x14ac:dyDescent="0.25">
      <c r="A40" s="2">
        <v>3343</v>
      </c>
      <c r="B40" s="2" t="s">
        <v>56</v>
      </c>
      <c r="C40" s="2" t="s">
        <v>14</v>
      </c>
      <c r="D40" s="3">
        <v>45460</v>
      </c>
      <c r="E40" s="2" t="s">
        <v>18</v>
      </c>
      <c r="F40" s="4">
        <v>15</v>
      </c>
      <c r="G40" s="2" t="s">
        <v>20</v>
      </c>
      <c r="H40" s="2" t="s">
        <v>15</v>
      </c>
      <c r="I40" s="4">
        <v>30</v>
      </c>
      <c r="J40" s="2" t="s">
        <v>15</v>
      </c>
      <c r="K40" s="4">
        <v>20</v>
      </c>
      <c r="L40" s="4">
        <v>20</v>
      </c>
      <c r="M40" s="4">
        <v>45</v>
      </c>
    </row>
    <row r="41" spans="1:13" x14ac:dyDescent="0.25">
      <c r="A41" s="2">
        <v>3346</v>
      </c>
      <c r="B41" s="2" t="s">
        <v>57</v>
      </c>
      <c r="C41" s="2" t="s">
        <v>14</v>
      </c>
      <c r="D41" s="3">
        <v>45463</v>
      </c>
      <c r="E41" s="2" t="s">
        <v>15</v>
      </c>
      <c r="F41" s="4">
        <v>15</v>
      </c>
      <c r="G41" s="2" t="s">
        <v>23</v>
      </c>
      <c r="H41" s="2" t="s">
        <v>15</v>
      </c>
      <c r="I41" s="4">
        <v>30</v>
      </c>
      <c r="J41" s="2" t="s">
        <v>15</v>
      </c>
      <c r="K41" s="4">
        <v>20</v>
      </c>
      <c r="L41" s="4">
        <v>5</v>
      </c>
      <c r="M41" s="4">
        <v>60</v>
      </c>
    </row>
    <row r="42" spans="1:13" x14ac:dyDescent="0.25">
      <c r="A42" s="2">
        <v>3349</v>
      </c>
      <c r="B42" s="2" t="s">
        <v>50</v>
      </c>
      <c r="C42" s="2" t="s">
        <v>14</v>
      </c>
      <c r="D42" s="3">
        <v>45466</v>
      </c>
      <c r="E42" s="2" t="s">
        <v>18</v>
      </c>
      <c r="F42" s="4">
        <v>15</v>
      </c>
      <c r="G42" s="2" t="s">
        <v>16</v>
      </c>
      <c r="H42" s="2" t="s">
        <v>15</v>
      </c>
      <c r="I42" s="4">
        <v>30</v>
      </c>
      <c r="J42" s="2" t="s">
        <v>15</v>
      </c>
      <c r="K42" s="4">
        <v>20</v>
      </c>
      <c r="L42" s="4">
        <v>3</v>
      </c>
      <c r="M42" s="4">
        <v>62</v>
      </c>
    </row>
    <row r="43" spans="1:13" x14ac:dyDescent="0.25">
      <c r="A43" s="2">
        <v>3352</v>
      </c>
      <c r="B43" s="2" t="s">
        <v>58</v>
      </c>
      <c r="C43" s="2" t="s">
        <v>14</v>
      </c>
      <c r="D43" s="3">
        <v>45469</v>
      </c>
      <c r="E43" s="2" t="s">
        <v>15</v>
      </c>
      <c r="F43" s="4">
        <v>15</v>
      </c>
      <c r="G43" s="2" t="s">
        <v>20</v>
      </c>
      <c r="H43" s="2" t="s">
        <v>15</v>
      </c>
      <c r="I43" s="4">
        <v>30</v>
      </c>
      <c r="J43" s="2" t="s">
        <v>15</v>
      </c>
      <c r="K43" s="4">
        <v>20</v>
      </c>
      <c r="L43" s="4">
        <v>7</v>
      </c>
      <c r="M43" s="4">
        <v>58</v>
      </c>
    </row>
    <row r="44" spans="1:13" x14ac:dyDescent="0.25">
      <c r="A44" s="2">
        <v>3355</v>
      </c>
      <c r="B44" s="2" t="s">
        <v>59</v>
      </c>
      <c r="C44" s="2" t="s">
        <v>14</v>
      </c>
      <c r="D44" s="3">
        <v>45472</v>
      </c>
      <c r="E44" s="2" t="s">
        <v>18</v>
      </c>
      <c r="F44" s="4">
        <v>15</v>
      </c>
      <c r="G44" s="2" t="s">
        <v>16</v>
      </c>
      <c r="H44" s="2" t="s">
        <v>15</v>
      </c>
      <c r="I44" s="4">
        <v>30</v>
      </c>
      <c r="J44" s="2" t="s">
        <v>15</v>
      </c>
      <c r="K44" s="4">
        <v>20</v>
      </c>
      <c r="L44" s="4">
        <v>20</v>
      </c>
      <c r="M44" s="4">
        <v>45</v>
      </c>
    </row>
    <row r="45" spans="1:13" x14ac:dyDescent="0.25">
      <c r="A45" s="2">
        <v>3358</v>
      </c>
      <c r="B45" s="2" t="s">
        <v>60</v>
      </c>
      <c r="C45" s="2" t="s">
        <v>14</v>
      </c>
      <c r="D45" s="3">
        <v>45475</v>
      </c>
      <c r="E45" s="2" t="s">
        <v>15</v>
      </c>
      <c r="F45" s="4">
        <v>15</v>
      </c>
      <c r="G45" s="2" t="s">
        <v>23</v>
      </c>
      <c r="H45" s="2" t="s">
        <v>15</v>
      </c>
      <c r="I45" s="4">
        <v>30</v>
      </c>
      <c r="J45" s="2" t="s">
        <v>15</v>
      </c>
      <c r="K45" s="4">
        <v>20</v>
      </c>
      <c r="L45" s="4">
        <v>3</v>
      </c>
      <c r="M45" s="4">
        <v>62</v>
      </c>
    </row>
    <row r="46" spans="1:13" x14ac:dyDescent="0.25">
      <c r="A46" s="2">
        <v>3361</v>
      </c>
      <c r="B46" s="2" t="s">
        <v>61</v>
      </c>
      <c r="C46" s="2" t="s">
        <v>14</v>
      </c>
      <c r="D46" s="3">
        <v>45478</v>
      </c>
      <c r="E46" s="2" t="s">
        <v>18</v>
      </c>
      <c r="F46" s="4">
        <v>15</v>
      </c>
      <c r="G46" s="2" t="s">
        <v>16</v>
      </c>
      <c r="H46" s="2" t="s">
        <v>15</v>
      </c>
      <c r="I46" s="4">
        <v>30</v>
      </c>
      <c r="J46" s="2" t="s">
        <v>15</v>
      </c>
      <c r="K46" s="4">
        <v>20</v>
      </c>
      <c r="L46" s="4">
        <v>15</v>
      </c>
      <c r="M46" s="4">
        <v>50</v>
      </c>
    </row>
    <row r="47" spans="1:13" x14ac:dyDescent="0.25">
      <c r="A47" s="2">
        <v>3364</v>
      </c>
      <c r="B47" s="2" t="s">
        <v>62</v>
      </c>
      <c r="C47" s="2" t="s">
        <v>14</v>
      </c>
      <c r="D47" s="3">
        <v>45481</v>
      </c>
      <c r="E47" s="2" t="s">
        <v>15</v>
      </c>
      <c r="F47" s="4">
        <v>15</v>
      </c>
      <c r="G47" s="2" t="s">
        <v>20</v>
      </c>
      <c r="H47" s="2" t="s">
        <v>15</v>
      </c>
      <c r="I47" s="4">
        <v>30</v>
      </c>
      <c r="J47" s="2" t="s">
        <v>15</v>
      </c>
      <c r="K47" s="4">
        <v>20</v>
      </c>
      <c r="L47" s="4">
        <v>7</v>
      </c>
      <c r="M47" s="4">
        <v>58</v>
      </c>
    </row>
    <row r="48" spans="1:13" x14ac:dyDescent="0.25">
      <c r="A48" s="2">
        <v>3367</v>
      </c>
      <c r="B48" s="2" t="s">
        <v>63</v>
      </c>
      <c r="C48" s="2" t="s">
        <v>14</v>
      </c>
      <c r="D48" s="3">
        <v>45484</v>
      </c>
      <c r="E48" s="2" t="s">
        <v>18</v>
      </c>
      <c r="F48" s="4">
        <v>15</v>
      </c>
      <c r="G48" s="2" t="s">
        <v>20</v>
      </c>
      <c r="H48" s="2" t="s">
        <v>15</v>
      </c>
      <c r="I48" s="4">
        <v>30</v>
      </c>
      <c r="J48" s="2" t="s">
        <v>15</v>
      </c>
      <c r="K48" s="4">
        <v>20</v>
      </c>
      <c r="L48" s="4">
        <v>7</v>
      </c>
      <c r="M48" s="4">
        <v>58</v>
      </c>
    </row>
    <row r="49" spans="1:13" x14ac:dyDescent="0.25">
      <c r="A49" s="2">
        <v>3370</v>
      </c>
      <c r="B49" s="2" t="s">
        <v>64</v>
      </c>
      <c r="C49" s="2" t="s">
        <v>14</v>
      </c>
      <c r="D49" s="3">
        <v>45487</v>
      </c>
      <c r="E49" s="2" t="s">
        <v>15</v>
      </c>
      <c r="F49" s="4">
        <v>15</v>
      </c>
      <c r="G49" s="2" t="s">
        <v>16</v>
      </c>
      <c r="H49" s="2" t="s">
        <v>15</v>
      </c>
      <c r="I49" s="4">
        <v>30</v>
      </c>
      <c r="J49" s="2" t="s">
        <v>15</v>
      </c>
      <c r="K49" s="4">
        <v>20</v>
      </c>
      <c r="L49" s="4">
        <v>15</v>
      </c>
      <c r="M49" s="4">
        <v>50</v>
      </c>
    </row>
    <row r="50" spans="1:13" x14ac:dyDescent="0.25">
      <c r="A50" s="2">
        <v>3373</v>
      </c>
      <c r="B50" s="2" t="s">
        <v>65</v>
      </c>
      <c r="C50" s="2" t="s">
        <v>14</v>
      </c>
      <c r="D50" s="3">
        <v>45490</v>
      </c>
      <c r="E50" s="2" t="s">
        <v>18</v>
      </c>
      <c r="F50" s="4">
        <v>15</v>
      </c>
      <c r="G50" s="2" t="s">
        <v>20</v>
      </c>
      <c r="H50" s="2" t="s">
        <v>15</v>
      </c>
      <c r="I50" s="4">
        <v>30</v>
      </c>
      <c r="J50" s="2" t="s">
        <v>15</v>
      </c>
      <c r="K50" s="4">
        <v>20</v>
      </c>
      <c r="L50" s="4">
        <v>20</v>
      </c>
      <c r="M50" s="4">
        <v>45</v>
      </c>
    </row>
    <row r="51" spans="1:13" x14ac:dyDescent="0.25">
      <c r="A51" s="2">
        <v>3376</v>
      </c>
      <c r="B51" s="2" t="s">
        <v>66</v>
      </c>
      <c r="C51" s="2" t="s">
        <v>14</v>
      </c>
      <c r="D51" s="3">
        <v>45493</v>
      </c>
      <c r="E51" s="2" t="s">
        <v>15</v>
      </c>
      <c r="F51" s="4">
        <v>15</v>
      </c>
      <c r="G51" s="2" t="s">
        <v>23</v>
      </c>
      <c r="H51" s="2" t="s">
        <v>15</v>
      </c>
      <c r="I51" s="4">
        <v>30</v>
      </c>
      <c r="J51" s="2" t="s">
        <v>15</v>
      </c>
      <c r="K51" s="4">
        <v>20</v>
      </c>
      <c r="L51" s="4">
        <v>5</v>
      </c>
      <c r="M51" s="4">
        <v>60</v>
      </c>
    </row>
    <row r="52" spans="1:13" x14ac:dyDescent="0.25">
      <c r="A52" s="2">
        <v>3379</v>
      </c>
      <c r="B52" s="2" t="s">
        <v>67</v>
      </c>
      <c r="C52" s="2" t="s">
        <v>14</v>
      </c>
      <c r="D52" s="3">
        <v>45496</v>
      </c>
      <c r="E52" s="2" t="s">
        <v>18</v>
      </c>
      <c r="F52" s="4">
        <v>15</v>
      </c>
      <c r="G52" s="2" t="s">
        <v>16</v>
      </c>
      <c r="H52" s="2" t="s">
        <v>15</v>
      </c>
      <c r="I52" s="4">
        <v>30</v>
      </c>
      <c r="J52" s="2" t="s">
        <v>15</v>
      </c>
      <c r="K52" s="4">
        <v>20</v>
      </c>
      <c r="L52" s="4">
        <v>3</v>
      </c>
      <c r="M52" s="4">
        <v>62</v>
      </c>
    </row>
    <row r="53" spans="1:13" x14ac:dyDescent="0.25">
      <c r="A53" s="2">
        <v>3382</v>
      </c>
      <c r="B53" s="2" t="s">
        <v>68</v>
      </c>
      <c r="C53" s="2" t="s">
        <v>14</v>
      </c>
      <c r="D53" s="3">
        <v>45499</v>
      </c>
      <c r="E53" s="2" t="s">
        <v>15</v>
      </c>
      <c r="F53" s="4">
        <v>15</v>
      </c>
      <c r="G53" s="2" t="s">
        <v>20</v>
      </c>
      <c r="H53" s="2" t="s">
        <v>15</v>
      </c>
      <c r="I53" s="4">
        <v>30</v>
      </c>
      <c r="J53" s="2" t="s">
        <v>15</v>
      </c>
      <c r="K53" s="4">
        <v>20</v>
      </c>
      <c r="L53" s="4">
        <v>7</v>
      </c>
      <c r="M53" s="4">
        <v>58</v>
      </c>
    </row>
    <row r="54" spans="1:13" x14ac:dyDescent="0.25">
      <c r="A54" s="2">
        <v>3385</v>
      </c>
      <c r="B54" s="2" t="s">
        <v>69</v>
      </c>
      <c r="C54" s="2" t="s">
        <v>14</v>
      </c>
      <c r="D54" s="3">
        <v>45502</v>
      </c>
      <c r="E54" s="2" t="s">
        <v>18</v>
      </c>
      <c r="F54" s="4">
        <v>15</v>
      </c>
      <c r="G54" s="2" t="s">
        <v>16</v>
      </c>
      <c r="H54" s="2" t="s">
        <v>15</v>
      </c>
      <c r="I54" s="4">
        <v>30</v>
      </c>
      <c r="J54" s="2" t="s">
        <v>15</v>
      </c>
      <c r="K54" s="4">
        <v>20</v>
      </c>
      <c r="L54" s="4">
        <v>20</v>
      </c>
      <c r="M54" s="4">
        <v>45</v>
      </c>
    </row>
    <row r="55" spans="1:13" x14ac:dyDescent="0.25">
      <c r="A55" s="2">
        <v>3388</v>
      </c>
      <c r="B55" s="2" t="s">
        <v>70</v>
      </c>
      <c r="C55" s="2" t="s">
        <v>14</v>
      </c>
      <c r="D55" s="3">
        <v>45505</v>
      </c>
      <c r="E55" s="2" t="s">
        <v>15</v>
      </c>
      <c r="F55" s="4">
        <v>15</v>
      </c>
      <c r="G55" s="2" t="s">
        <v>23</v>
      </c>
      <c r="H55" s="2" t="s">
        <v>15</v>
      </c>
      <c r="I55" s="4">
        <v>30</v>
      </c>
      <c r="J55" s="2" t="s">
        <v>15</v>
      </c>
      <c r="K55" s="4">
        <v>20</v>
      </c>
      <c r="L55" s="4">
        <v>3</v>
      </c>
      <c r="M55" s="4">
        <v>62</v>
      </c>
    </row>
    <row r="56" spans="1:13" x14ac:dyDescent="0.25">
      <c r="A56" s="2">
        <v>3391</v>
      </c>
      <c r="B56" s="2" t="s">
        <v>71</v>
      </c>
      <c r="C56" s="2" t="s">
        <v>14</v>
      </c>
      <c r="D56" s="3">
        <v>45508</v>
      </c>
      <c r="E56" s="2" t="s">
        <v>18</v>
      </c>
      <c r="F56" s="4">
        <v>15</v>
      </c>
      <c r="G56" s="2" t="s">
        <v>16</v>
      </c>
      <c r="H56" s="2" t="s">
        <v>15</v>
      </c>
      <c r="I56" s="4">
        <v>30</v>
      </c>
      <c r="J56" s="2" t="s">
        <v>15</v>
      </c>
      <c r="K56" s="4">
        <v>20</v>
      </c>
      <c r="L56" s="4">
        <v>15</v>
      </c>
      <c r="M56" s="4">
        <v>50</v>
      </c>
    </row>
    <row r="57" spans="1:13" x14ac:dyDescent="0.25">
      <c r="A57" s="2">
        <v>3394</v>
      </c>
      <c r="B57" s="2" t="s">
        <v>72</v>
      </c>
      <c r="C57" s="2" t="s">
        <v>14</v>
      </c>
      <c r="D57" s="3">
        <v>45511</v>
      </c>
      <c r="E57" s="2" t="s">
        <v>15</v>
      </c>
      <c r="F57" s="4">
        <v>15</v>
      </c>
      <c r="G57" s="2" t="s">
        <v>20</v>
      </c>
      <c r="H57" s="2" t="s">
        <v>15</v>
      </c>
      <c r="I57" s="4">
        <v>30</v>
      </c>
      <c r="J57" s="2" t="s">
        <v>15</v>
      </c>
      <c r="K57" s="4">
        <v>20</v>
      </c>
      <c r="L57" s="4">
        <v>7</v>
      </c>
      <c r="M57" s="4">
        <v>58</v>
      </c>
    </row>
    <row r="58" spans="1:13" x14ac:dyDescent="0.25">
      <c r="A58" s="2">
        <v>3397</v>
      </c>
      <c r="B58" s="2" t="s">
        <v>49</v>
      </c>
      <c r="C58" s="2" t="s">
        <v>14</v>
      </c>
      <c r="D58" s="3">
        <v>45514</v>
      </c>
      <c r="E58" s="2" t="s">
        <v>18</v>
      </c>
      <c r="F58" s="4">
        <v>15</v>
      </c>
      <c r="G58" s="2" t="s">
        <v>16</v>
      </c>
      <c r="H58" s="2" t="s">
        <v>15</v>
      </c>
      <c r="I58" s="4">
        <v>30</v>
      </c>
      <c r="J58" s="2" t="s">
        <v>15</v>
      </c>
      <c r="K58" s="4">
        <v>20</v>
      </c>
      <c r="L58" s="4">
        <v>20</v>
      </c>
      <c r="M58" s="4">
        <v>45</v>
      </c>
    </row>
    <row r="59" spans="1:13" x14ac:dyDescent="0.25">
      <c r="A59" s="2">
        <v>3400</v>
      </c>
      <c r="B59" s="2" t="s">
        <v>73</v>
      </c>
      <c r="C59" s="2" t="s">
        <v>14</v>
      </c>
      <c r="D59" s="3">
        <v>45517</v>
      </c>
      <c r="E59" s="2" t="s">
        <v>15</v>
      </c>
      <c r="F59" s="4">
        <v>15</v>
      </c>
      <c r="G59" s="2" t="s">
        <v>23</v>
      </c>
      <c r="H59" s="2" t="s">
        <v>15</v>
      </c>
      <c r="I59" s="4">
        <v>30</v>
      </c>
      <c r="J59" s="2" t="s">
        <v>15</v>
      </c>
      <c r="K59" s="4">
        <v>20</v>
      </c>
      <c r="L59" s="4">
        <v>5</v>
      </c>
      <c r="M59" s="4">
        <v>60</v>
      </c>
    </row>
    <row r="60" spans="1:13" x14ac:dyDescent="0.25">
      <c r="A60" s="2">
        <v>3403</v>
      </c>
      <c r="B60" s="2" t="s">
        <v>74</v>
      </c>
      <c r="C60" s="2" t="s">
        <v>14</v>
      </c>
      <c r="D60" s="3">
        <v>45520</v>
      </c>
      <c r="E60" s="2" t="s">
        <v>18</v>
      </c>
      <c r="F60" s="4">
        <v>15</v>
      </c>
      <c r="G60" s="2" t="s">
        <v>16</v>
      </c>
      <c r="H60" s="2" t="s">
        <v>15</v>
      </c>
      <c r="I60" s="4">
        <v>30</v>
      </c>
      <c r="J60" s="2" t="s">
        <v>15</v>
      </c>
      <c r="K60" s="4">
        <v>20</v>
      </c>
      <c r="L60" s="4">
        <v>3</v>
      </c>
      <c r="M60" s="4">
        <v>62</v>
      </c>
    </row>
    <row r="61" spans="1:13" x14ac:dyDescent="0.25">
      <c r="A61" s="2">
        <v>3407</v>
      </c>
      <c r="B61" s="2" t="s">
        <v>75</v>
      </c>
      <c r="C61" s="2" t="s">
        <v>14</v>
      </c>
      <c r="D61" s="3">
        <v>45524</v>
      </c>
      <c r="E61" s="2" t="s">
        <v>18</v>
      </c>
      <c r="F61" s="4">
        <v>15</v>
      </c>
      <c r="G61" s="2" t="s">
        <v>20</v>
      </c>
      <c r="H61" s="2" t="s">
        <v>15</v>
      </c>
      <c r="I61" s="4">
        <v>30</v>
      </c>
      <c r="J61" s="2" t="s">
        <v>15</v>
      </c>
      <c r="K61" s="4">
        <v>20</v>
      </c>
      <c r="L61" s="4">
        <v>7</v>
      </c>
      <c r="M61" s="4">
        <v>58</v>
      </c>
    </row>
    <row r="62" spans="1:13" ht="30" x14ac:dyDescent="0.25">
      <c r="A62" s="2">
        <v>3410</v>
      </c>
      <c r="B62" s="2" t="s">
        <v>76</v>
      </c>
      <c r="C62" s="2" t="s">
        <v>14</v>
      </c>
      <c r="D62" s="3">
        <v>45527</v>
      </c>
      <c r="E62" s="2" t="s">
        <v>15</v>
      </c>
      <c r="F62" s="4">
        <v>15</v>
      </c>
      <c r="G62" s="2" t="s">
        <v>16</v>
      </c>
      <c r="H62" s="2" t="s">
        <v>15</v>
      </c>
      <c r="I62" s="4">
        <v>30</v>
      </c>
      <c r="J62" s="2" t="s">
        <v>15</v>
      </c>
      <c r="K62" s="4">
        <v>20</v>
      </c>
      <c r="L62" s="4">
        <v>15</v>
      </c>
      <c r="M62" s="4">
        <v>50</v>
      </c>
    </row>
    <row r="63" spans="1:13" x14ac:dyDescent="0.25">
      <c r="A63" s="2">
        <v>3413</v>
      </c>
      <c r="B63" s="2" t="s">
        <v>77</v>
      </c>
      <c r="C63" s="2" t="s">
        <v>14</v>
      </c>
      <c r="D63" s="3">
        <v>45530</v>
      </c>
      <c r="E63" s="2" t="s">
        <v>18</v>
      </c>
      <c r="F63" s="4">
        <v>15</v>
      </c>
      <c r="G63" s="2" t="s">
        <v>20</v>
      </c>
      <c r="H63" s="2" t="s">
        <v>15</v>
      </c>
      <c r="I63" s="4">
        <v>30</v>
      </c>
      <c r="J63" s="2" t="s">
        <v>15</v>
      </c>
      <c r="K63" s="4">
        <v>20</v>
      </c>
      <c r="L63" s="4">
        <v>20</v>
      </c>
      <c r="M63" s="4">
        <v>45</v>
      </c>
    </row>
    <row r="64" spans="1:13" x14ac:dyDescent="0.25">
      <c r="A64" s="2">
        <v>3416</v>
      </c>
      <c r="B64" s="2" t="s">
        <v>78</v>
      </c>
      <c r="C64" s="2" t="s">
        <v>14</v>
      </c>
      <c r="D64" s="3">
        <v>45533</v>
      </c>
      <c r="E64" s="2" t="s">
        <v>15</v>
      </c>
      <c r="F64" s="4">
        <v>15</v>
      </c>
      <c r="G64" s="2" t="s">
        <v>23</v>
      </c>
      <c r="H64" s="2" t="s">
        <v>15</v>
      </c>
      <c r="I64" s="4">
        <v>30</v>
      </c>
      <c r="J64" s="2" t="s">
        <v>15</v>
      </c>
      <c r="K64" s="4">
        <v>20</v>
      </c>
      <c r="L64" s="4">
        <v>5</v>
      </c>
      <c r="M64" s="4">
        <v>60</v>
      </c>
    </row>
    <row r="65" spans="1:13" x14ac:dyDescent="0.25">
      <c r="A65" s="2">
        <v>3419</v>
      </c>
      <c r="B65" s="2" t="s">
        <v>79</v>
      </c>
      <c r="C65" s="2" t="s">
        <v>14</v>
      </c>
      <c r="D65" s="3">
        <v>45536</v>
      </c>
      <c r="E65" s="2" t="s">
        <v>18</v>
      </c>
      <c r="F65" s="4">
        <v>15</v>
      </c>
      <c r="G65" s="2" t="s">
        <v>16</v>
      </c>
      <c r="H65" s="2" t="s">
        <v>15</v>
      </c>
      <c r="I65" s="4">
        <v>30</v>
      </c>
      <c r="J65" s="2" t="s">
        <v>15</v>
      </c>
      <c r="K65" s="4">
        <v>20</v>
      </c>
      <c r="L65" s="4">
        <v>3</v>
      </c>
      <c r="M65" s="4">
        <v>62</v>
      </c>
    </row>
    <row r="66" spans="1:13" x14ac:dyDescent="0.25">
      <c r="A66" s="2">
        <v>3422</v>
      </c>
      <c r="B66" s="2" t="s">
        <v>80</v>
      </c>
      <c r="C66" s="2" t="s">
        <v>14</v>
      </c>
      <c r="D66" s="3">
        <v>45539</v>
      </c>
      <c r="E66" s="2" t="s">
        <v>15</v>
      </c>
      <c r="F66" s="4">
        <v>15</v>
      </c>
      <c r="G66" s="2" t="s">
        <v>20</v>
      </c>
      <c r="H66" s="2" t="s">
        <v>15</v>
      </c>
      <c r="I66" s="4">
        <v>30</v>
      </c>
      <c r="J66" s="2" t="s">
        <v>15</v>
      </c>
      <c r="K66" s="4">
        <v>20</v>
      </c>
      <c r="L66" s="4">
        <v>7</v>
      </c>
      <c r="M66" s="4">
        <v>58</v>
      </c>
    </row>
    <row r="67" spans="1:13" x14ac:dyDescent="0.25">
      <c r="A67" s="2">
        <v>3425</v>
      </c>
      <c r="B67" s="2" t="s">
        <v>81</v>
      </c>
      <c r="C67" s="2" t="s">
        <v>14</v>
      </c>
      <c r="D67" s="3">
        <v>45542</v>
      </c>
      <c r="E67" s="2" t="s">
        <v>18</v>
      </c>
      <c r="F67" s="4">
        <v>15</v>
      </c>
      <c r="G67" s="2" t="s">
        <v>16</v>
      </c>
      <c r="H67" s="2" t="s">
        <v>15</v>
      </c>
      <c r="I67" s="4">
        <v>30</v>
      </c>
      <c r="J67" s="2" t="s">
        <v>15</v>
      </c>
      <c r="K67" s="4">
        <v>20</v>
      </c>
      <c r="L67" s="4">
        <v>20</v>
      </c>
      <c r="M67" s="4">
        <v>45</v>
      </c>
    </row>
    <row r="68" spans="1:13" x14ac:dyDescent="0.25">
      <c r="A68" s="2">
        <v>3428</v>
      </c>
      <c r="B68" s="2" t="s">
        <v>82</v>
      </c>
      <c r="C68" s="2" t="s">
        <v>14</v>
      </c>
      <c r="D68" s="3">
        <v>45545</v>
      </c>
      <c r="E68" s="2" t="s">
        <v>15</v>
      </c>
      <c r="F68" s="4">
        <v>15</v>
      </c>
      <c r="G68" s="2" t="s">
        <v>23</v>
      </c>
      <c r="H68" s="2" t="s">
        <v>15</v>
      </c>
      <c r="I68" s="4">
        <v>30</v>
      </c>
      <c r="J68" s="2" t="s">
        <v>15</v>
      </c>
      <c r="K68" s="4">
        <v>20</v>
      </c>
      <c r="L68" s="4">
        <v>3</v>
      </c>
      <c r="M68" s="4">
        <v>62</v>
      </c>
    </row>
    <row r="69" spans="1:13" x14ac:dyDescent="0.25">
      <c r="A69" s="2">
        <v>3431</v>
      </c>
      <c r="B69" s="2" t="s">
        <v>83</v>
      </c>
      <c r="C69" s="2" t="s">
        <v>14</v>
      </c>
      <c r="D69" s="3">
        <v>45548</v>
      </c>
      <c r="E69" s="2" t="s">
        <v>18</v>
      </c>
      <c r="F69" s="4">
        <v>15</v>
      </c>
      <c r="G69" s="2" t="s">
        <v>16</v>
      </c>
      <c r="H69" s="2" t="s">
        <v>15</v>
      </c>
      <c r="I69" s="4">
        <v>30</v>
      </c>
      <c r="J69" s="2" t="s">
        <v>15</v>
      </c>
      <c r="K69" s="4">
        <v>20</v>
      </c>
      <c r="L69" s="4">
        <v>15</v>
      </c>
      <c r="M69" s="4">
        <v>50</v>
      </c>
    </row>
    <row r="70" spans="1:13" x14ac:dyDescent="0.25">
      <c r="A70" s="2">
        <v>3434</v>
      </c>
      <c r="B70" s="2" t="s">
        <v>84</v>
      </c>
      <c r="C70" s="2" t="s">
        <v>14</v>
      </c>
      <c r="D70" s="3">
        <v>45551</v>
      </c>
      <c r="E70" s="2" t="s">
        <v>15</v>
      </c>
      <c r="F70" s="4">
        <v>15</v>
      </c>
      <c r="G70" s="2" t="s">
        <v>20</v>
      </c>
      <c r="H70" s="2" t="s">
        <v>15</v>
      </c>
      <c r="I70" s="4">
        <v>30</v>
      </c>
      <c r="J70" s="2" t="s">
        <v>15</v>
      </c>
      <c r="K70" s="4">
        <v>20</v>
      </c>
      <c r="L70" s="4">
        <v>7</v>
      </c>
      <c r="M70" s="4">
        <v>58</v>
      </c>
    </row>
    <row r="71" spans="1:13" x14ac:dyDescent="0.25">
      <c r="A71" s="2">
        <v>3437</v>
      </c>
      <c r="B71" s="2" t="s">
        <v>85</v>
      </c>
      <c r="C71" s="2" t="s">
        <v>14</v>
      </c>
      <c r="D71" s="3">
        <v>45554</v>
      </c>
      <c r="E71" s="2" t="s">
        <v>18</v>
      </c>
      <c r="F71" s="4">
        <v>15</v>
      </c>
      <c r="G71" s="2" t="s">
        <v>20</v>
      </c>
      <c r="H71" s="2" t="s">
        <v>15</v>
      </c>
      <c r="I71" s="4">
        <v>30</v>
      </c>
      <c r="J71" s="2" t="s">
        <v>15</v>
      </c>
      <c r="K71" s="4">
        <v>20</v>
      </c>
      <c r="L71" s="4">
        <v>7</v>
      </c>
      <c r="M71" s="4">
        <v>58</v>
      </c>
    </row>
    <row r="72" spans="1:13" x14ac:dyDescent="0.25">
      <c r="A72" s="2">
        <v>3440</v>
      </c>
      <c r="B72" s="2" t="s">
        <v>86</v>
      </c>
      <c r="C72" s="2" t="s">
        <v>14</v>
      </c>
      <c r="D72" s="3">
        <v>45557</v>
      </c>
      <c r="E72" s="2" t="s">
        <v>15</v>
      </c>
      <c r="F72" s="4">
        <v>15</v>
      </c>
      <c r="G72" s="2" t="s">
        <v>16</v>
      </c>
      <c r="H72" s="2" t="s">
        <v>15</v>
      </c>
      <c r="I72" s="4">
        <v>30</v>
      </c>
      <c r="J72" s="2" t="s">
        <v>15</v>
      </c>
      <c r="K72" s="4">
        <v>20</v>
      </c>
      <c r="L72" s="4">
        <v>15</v>
      </c>
      <c r="M72" s="4">
        <v>50</v>
      </c>
    </row>
    <row r="73" spans="1:13" x14ac:dyDescent="0.25">
      <c r="A73" s="2">
        <v>3443</v>
      </c>
      <c r="B73" s="2" t="s">
        <v>87</v>
      </c>
      <c r="C73" s="2" t="s">
        <v>14</v>
      </c>
      <c r="D73" s="3">
        <v>45560</v>
      </c>
      <c r="E73" s="2" t="s">
        <v>18</v>
      </c>
      <c r="F73" s="4">
        <v>15</v>
      </c>
      <c r="G73" s="2" t="s">
        <v>20</v>
      </c>
      <c r="H73" s="2" t="s">
        <v>15</v>
      </c>
      <c r="I73" s="4">
        <v>30</v>
      </c>
      <c r="J73" s="2" t="s">
        <v>15</v>
      </c>
      <c r="K73" s="4">
        <v>20</v>
      </c>
      <c r="L73" s="4">
        <v>20</v>
      </c>
      <c r="M73" s="4">
        <v>45</v>
      </c>
    </row>
    <row r="74" spans="1:13" x14ac:dyDescent="0.25">
      <c r="A74" s="2">
        <v>3446</v>
      </c>
      <c r="B74" s="2" t="s">
        <v>88</v>
      </c>
      <c r="C74" s="2" t="s">
        <v>14</v>
      </c>
      <c r="D74" s="3">
        <v>45563</v>
      </c>
      <c r="E74" s="2" t="s">
        <v>15</v>
      </c>
      <c r="F74" s="4">
        <v>15</v>
      </c>
      <c r="G74" s="2" t="s">
        <v>23</v>
      </c>
      <c r="H74" s="2" t="s">
        <v>15</v>
      </c>
      <c r="I74" s="4">
        <v>30</v>
      </c>
      <c r="J74" s="2" t="s">
        <v>15</v>
      </c>
      <c r="K74" s="4">
        <v>20</v>
      </c>
      <c r="L74" s="4">
        <v>5</v>
      </c>
      <c r="M74" s="4">
        <v>60</v>
      </c>
    </row>
    <row r="75" spans="1:13" x14ac:dyDescent="0.25">
      <c r="A75" s="2">
        <v>3449</v>
      </c>
      <c r="B75" s="2" t="s">
        <v>89</v>
      </c>
      <c r="C75" s="2" t="s">
        <v>14</v>
      </c>
      <c r="D75" s="3">
        <v>45566</v>
      </c>
      <c r="E75" s="2" t="s">
        <v>18</v>
      </c>
      <c r="F75" s="4">
        <v>15</v>
      </c>
      <c r="G75" s="2" t="s">
        <v>16</v>
      </c>
      <c r="H75" s="2" t="s">
        <v>15</v>
      </c>
      <c r="I75" s="4">
        <v>30</v>
      </c>
      <c r="J75" s="2" t="s">
        <v>15</v>
      </c>
      <c r="K75" s="4">
        <v>20</v>
      </c>
      <c r="L75" s="4">
        <v>3</v>
      </c>
      <c r="M75" s="4">
        <v>62</v>
      </c>
    </row>
    <row r="76" spans="1:13" x14ac:dyDescent="0.25">
      <c r="A76" s="2">
        <v>3452</v>
      </c>
      <c r="B76" s="2" t="s">
        <v>82</v>
      </c>
      <c r="C76" s="2" t="s">
        <v>14</v>
      </c>
      <c r="D76" s="3">
        <v>45569</v>
      </c>
      <c r="E76" s="2" t="s">
        <v>15</v>
      </c>
      <c r="F76" s="4">
        <v>15</v>
      </c>
      <c r="G76" s="2" t="s">
        <v>20</v>
      </c>
      <c r="H76" s="2" t="s">
        <v>15</v>
      </c>
      <c r="I76" s="4">
        <v>30</v>
      </c>
      <c r="J76" s="2" t="s">
        <v>15</v>
      </c>
      <c r="K76" s="4">
        <v>20</v>
      </c>
      <c r="L76" s="4">
        <v>7</v>
      </c>
      <c r="M76" s="4">
        <v>58</v>
      </c>
    </row>
    <row r="77" spans="1:13" x14ac:dyDescent="0.25">
      <c r="A77" s="2">
        <v>3455</v>
      </c>
      <c r="B77" s="2" t="s">
        <v>90</v>
      </c>
      <c r="C77" s="2" t="s">
        <v>14</v>
      </c>
      <c r="D77" s="3">
        <v>45572</v>
      </c>
      <c r="E77" s="2" t="s">
        <v>18</v>
      </c>
      <c r="F77" s="4">
        <v>15</v>
      </c>
      <c r="G77" s="2" t="s">
        <v>16</v>
      </c>
      <c r="H77" s="2" t="s">
        <v>15</v>
      </c>
      <c r="I77" s="4">
        <v>30</v>
      </c>
      <c r="J77" s="2" t="s">
        <v>15</v>
      </c>
      <c r="K77" s="4">
        <v>20</v>
      </c>
      <c r="L77" s="4">
        <v>20</v>
      </c>
      <c r="M77" s="4">
        <v>45</v>
      </c>
    </row>
    <row r="78" spans="1:13" x14ac:dyDescent="0.25">
      <c r="A78" s="2">
        <v>3458</v>
      </c>
      <c r="B78" s="2" t="s">
        <v>91</v>
      </c>
      <c r="C78" s="2" t="s">
        <v>14</v>
      </c>
      <c r="D78" s="3">
        <v>45575</v>
      </c>
      <c r="E78" s="2" t="s">
        <v>15</v>
      </c>
      <c r="F78" s="4">
        <v>15</v>
      </c>
      <c r="G78" s="2" t="s">
        <v>23</v>
      </c>
      <c r="H78" s="2" t="s">
        <v>15</v>
      </c>
      <c r="I78" s="4">
        <v>30</v>
      </c>
      <c r="J78" s="2" t="s">
        <v>15</v>
      </c>
      <c r="K78" s="4">
        <v>20</v>
      </c>
      <c r="L78" s="4">
        <v>3</v>
      </c>
      <c r="M78" s="4">
        <v>62</v>
      </c>
    </row>
    <row r="79" spans="1:13" x14ac:dyDescent="0.25">
      <c r="A79" s="2">
        <v>3461</v>
      </c>
      <c r="B79" s="2" t="s">
        <v>92</v>
      </c>
      <c r="C79" s="2" t="s">
        <v>14</v>
      </c>
      <c r="D79" s="3">
        <v>45578</v>
      </c>
      <c r="E79" s="2" t="s">
        <v>18</v>
      </c>
      <c r="F79" s="4">
        <v>15</v>
      </c>
      <c r="G79" s="2" t="s">
        <v>16</v>
      </c>
      <c r="H79" s="2" t="s">
        <v>15</v>
      </c>
      <c r="I79" s="4">
        <v>30</v>
      </c>
      <c r="J79" s="2" t="s">
        <v>15</v>
      </c>
      <c r="K79" s="4">
        <v>20</v>
      </c>
      <c r="L79" s="4">
        <v>15</v>
      </c>
      <c r="M79" s="4">
        <v>50</v>
      </c>
    </row>
    <row r="80" spans="1:13" ht="30" x14ac:dyDescent="0.25">
      <c r="A80" s="2">
        <v>3464</v>
      </c>
      <c r="B80" s="2" t="s">
        <v>93</v>
      </c>
      <c r="C80" s="2" t="s">
        <v>14</v>
      </c>
      <c r="D80" s="3">
        <v>45581</v>
      </c>
      <c r="E80" s="2" t="s">
        <v>15</v>
      </c>
      <c r="F80" s="4">
        <v>15</v>
      </c>
      <c r="G80" s="2" t="s">
        <v>20</v>
      </c>
      <c r="H80" s="2" t="s">
        <v>15</v>
      </c>
      <c r="I80" s="4">
        <v>30</v>
      </c>
      <c r="J80" s="2" t="s">
        <v>15</v>
      </c>
      <c r="K80" s="4">
        <v>20</v>
      </c>
      <c r="L80" s="4">
        <v>7</v>
      </c>
      <c r="M80" s="4">
        <v>58</v>
      </c>
    </row>
    <row r="81" spans="1:13" x14ac:dyDescent="0.25">
      <c r="A81" s="2">
        <v>3467</v>
      </c>
      <c r="B81" s="2" t="s">
        <v>94</v>
      </c>
      <c r="C81" s="2" t="s">
        <v>14</v>
      </c>
      <c r="D81" s="3">
        <v>45584</v>
      </c>
      <c r="E81" s="2" t="s">
        <v>18</v>
      </c>
      <c r="F81" s="4">
        <v>15</v>
      </c>
      <c r="G81" s="2" t="s">
        <v>16</v>
      </c>
      <c r="H81" s="2" t="s">
        <v>15</v>
      </c>
      <c r="I81" s="4">
        <v>30</v>
      </c>
      <c r="J81" s="2" t="s">
        <v>15</v>
      </c>
      <c r="K81" s="4">
        <v>20</v>
      </c>
      <c r="L81" s="4">
        <v>15</v>
      </c>
      <c r="M81" s="4">
        <v>50</v>
      </c>
    </row>
    <row r="82" spans="1:13" x14ac:dyDescent="0.25">
      <c r="A82" s="2">
        <v>3470</v>
      </c>
      <c r="B82" s="2" t="s">
        <v>95</v>
      </c>
      <c r="C82" s="2" t="s">
        <v>14</v>
      </c>
      <c r="D82" s="3">
        <v>45587</v>
      </c>
      <c r="E82" s="2" t="s">
        <v>15</v>
      </c>
      <c r="F82" s="4">
        <v>15</v>
      </c>
      <c r="G82" s="2" t="s">
        <v>23</v>
      </c>
      <c r="H82" s="2" t="s">
        <v>15</v>
      </c>
      <c r="I82" s="4">
        <v>30</v>
      </c>
      <c r="J82" s="2" t="s">
        <v>15</v>
      </c>
      <c r="K82" s="4">
        <v>20</v>
      </c>
      <c r="L82" s="4">
        <v>5</v>
      </c>
      <c r="M82" s="4">
        <v>60</v>
      </c>
    </row>
    <row r="83" spans="1:13" x14ac:dyDescent="0.25">
      <c r="A83" s="2">
        <v>3473</v>
      </c>
      <c r="B83" s="2" t="s">
        <v>96</v>
      </c>
      <c r="C83" s="2" t="s">
        <v>14</v>
      </c>
      <c r="D83" s="3">
        <v>45590</v>
      </c>
      <c r="E83" s="2" t="s">
        <v>18</v>
      </c>
      <c r="F83" s="4">
        <v>15</v>
      </c>
      <c r="G83" s="2" t="s">
        <v>16</v>
      </c>
      <c r="H83" s="2" t="s">
        <v>15</v>
      </c>
      <c r="I83" s="4">
        <v>30</v>
      </c>
      <c r="J83" s="2" t="s">
        <v>15</v>
      </c>
      <c r="K83" s="4">
        <v>20</v>
      </c>
      <c r="L83" s="4">
        <v>3</v>
      </c>
      <c r="M83" s="4">
        <v>62</v>
      </c>
    </row>
    <row r="84" spans="1:13" x14ac:dyDescent="0.25">
      <c r="A84" s="2">
        <v>3476</v>
      </c>
      <c r="B84" s="2" t="s">
        <v>97</v>
      </c>
      <c r="C84" s="2" t="s">
        <v>14</v>
      </c>
      <c r="D84" s="3">
        <v>45593</v>
      </c>
      <c r="E84" s="2" t="s">
        <v>15</v>
      </c>
      <c r="F84" s="4">
        <v>15</v>
      </c>
      <c r="G84" s="2" t="s">
        <v>20</v>
      </c>
      <c r="H84" s="2" t="s">
        <v>15</v>
      </c>
      <c r="I84" s="4">
        <v>30</v>
      </c>
      <c r="J84" s="2" t="s">
        <v>15</v>
      </c>
      <c r="K84" s="4">
        <v>20</v>
      </c>
      <c r="L84" s="4">
        <v>7</v>
      </c>
      <c r="M84" s="4">
        <v>58</v>
      </c>
    </row>
    <row r="85" spans="1:13" x14ac:dyDescent="0.25">
      <c r="A85" s="2">
        <v>3479</v>
      </c>
      <c r="B85" s="2" t="s">
        <v>98</v>
      </c>
      <c r="C85" s="2" t="s">
        <v>14</v>
      </c>
      <c r="D85" s="3">
        <v>45596</v>
      </c>
      <c r="E85" s="2" t="s">
        <v>18</v>
      </c>
      <c r="F85" s="4">
        <v>15</v>
      </c>
      <c r="G85" s="2" t="s">
        <v>16</v>
      </c>
      <c r="H85" s="2" t="s">
        <v>15</v>
      </c>
      <c r="I85" s="4">
        <v>30</v>
      </c>
      <c r="J85" s="2" t="s">
        <v>15</v>
      </c>
      <c r="K85" s="4">
        <v>20</v>
      </c>
      <c r="L85" s="4">
        <v>20</v>
      </c>
      <c r="M85" s="4">
        <v>45</v>
      </c>
    </row>
    <row r="86" spans="1:13" x14ac:dyDescent="0.25">
      <c r="A86" s="2">
        <v>3482</v>
      </c>
      <c r="B86" s="2" t="s">
        <v>99</v>
      </c>
      <c r="C86" s="2" t="s">
        <v>14</v>
      </c>
      <c r="D86" s="3">
        <v>45599</v>
      </c>
      <c r="E86" s="2" t="s">
        <v>15</v>
      </c>
      <c r="F86" s="4">
        <v>15</v>
      </c>
      <c r="G86" s="2" t="s">
        <v>23</v>
      </c>
      <c r="H86" s="2" t="s">
        <v>15</v>
      </c>
      <c r="I86" s="4">
        <v>30</v>
      </c>
      <c r="J86" s="2" t="s">
        <v>15</v>
      </c>
      <c r="K86" s="4">
        <v>20</v>
      </c>
      <c r="L86" s="4">
        <v>3</v>
      </c>
      <c r="M86" s="4">
        <v>62</v>
      </c>
    </row>
    <row r="87" spans="1:13" x14ac:dyDescent="0.25">
      <c r="A87" s="2">
        <v>3485</v>
      </c>
      <c r="B87" s="2" t="s">
        <v>100</v>
      </c>
      <c r="C87" s="2" t="s">
        <v>14</v>
      </c>
      <c r="D87" s="3">
        <v>45602</v>
      </c>
      <c r="E87" s="2" t="s">
        <v>18</v>
      </c>
      <c r="F87" s="4">
        <v>15</v>
      </c>
      <c r="G87" s="2" t="s">
        <v>16</v>
      </c>
      <c r="H87" s="2" t="s">
        <v>15</v>
      </c>
      <c r="I87" s="4">
        <v>30</v>
      </c>
      <c r="J87" s="2" t="s">
        <v>15</v>
      </c>
      <c r="K87" s="4">
        <v>20</v>
      </c>
      <c r="L87" s="4">
        <v>15</v>
      </c>
      <c r="M87" s="4">
        <v>50</v>
      </c>
    </row>
    <row r="88" spans="1:13" x14ac:dyDescent="0.25">
      <c r="A88" s="2">
        <v>3487</v>
      </c>
      <c r="B88" s="2" t="s">
        <v>101</v>
      </c>
      <c r="C88" s="2" t="s">
        <v>14</v>
      </c>
      <c r="D88" s="3">
        <v>45604</v>
      </c>
      <c r="E88" s="2" t="s">
        <v>18</v>
      </c>
      <c r="F88" s="4">
        <v>15</v>
      </c>
      <c r="G88" s="2" t="s">
        <v>20</v>
      </c>
      <c r="H88" s="2" t="s">
        <v>15</v>
      </c>
      <c r="I88" s="4">
        <v>30</v>
      </c>
      <c r="J88" s="2" t="s">
        <v>15</v>
      </c>
      <c r="K88" s="4">
        <v>20</v>
      </c>
      <c r="L88" s="4">
        <v>7</v>
      </c>
      <c r="M88" s="4">
        <v>58</v>
      </c>
    </row>
    <row r="89" spans="1:13" x14ac:dyDescent="0.25">
      <c r="A89" s="2">
        <v>3490</v>
      </c>
      <c r="B89" s="2" t="s">
        <v>102</v>
      </c>
      <c r="C89" s="2" t="s">
        <v>14</v>
      </c>
      <c r="D89" s="3">
        <v>45607</v>
      </c>
      <c r="E89" s="2" t="s">
        <v>15</v>
      </c>
      <c r="F89" s="4">
        <v>15</v>
      </c>
      <c r="G89" s="2" t="s">
        <v>16</v>
      </c>
      <c r="H89" s="2" t="s">
        <v>15</v>
      </c>
      <c r="I89" s="4">
        <v>30</v>
      </c>
      <c r="J89" s="2" t="s">
        <v>15</v>
      </c>
      <c r="K89" s="4">
        <v>20</v>
      </c>
      <c r="L89" s="4">
        <v>15</v>
      </c>
      <c r="M89" s="4">
        <v>50</v>
      </c>
    </row>
    <row r="90" spans="1:13" x14ac:dyDescent="0.25">
      <c r="A90" s="2">
        <v>3493</v>
      </c>
      <c r="B90" s="2" t="s">
        <v>103</v>
      </c>
      <c r="C90" s="2" t="s">
        <v>14</v>
      </c>
      <c r="D90" s="3">
        <v>45610</v>
      </c>
      <c r="E90" s="2" t="s">
        <v>18</v>
      </c>
      <c r="F90" s="4">
        <v>15</v>
      </c>
      <c r="G90" s="2" t="s">
        <v>20</v>
      </c>
      <c r="H90" s="2" t="s">
        <v>15</v>
      </c>
      <c r="I90" s="4">
        <v>30</v>
      </c>
      <c r="J90" s="2" t="s">
        <v>15</v>
      </c>
      <c r="K90" s="4">
        <v>20</v>
      </c>
      <c r="L90" s="4">
        <v>20</v>
      </c>
      <c r="M90" s="4">
        <v>45</v>
      </c>
    </row>
    <row r="91" spans="1:13" x14ac:dyDescent="0.25">
      <c r="A91" s="2">
        <v>3496</v>
      </c>
      <c r="B91" s="2" t="s">
        <v>104</v>
      </c>
      <c r="C91" s="2" t="s">
        <v>14</v>
      </c>
      <c r="D91" s="3">
        <v>45613</v>
      </c>
      <c r="E91" s="2" t="s">
        <v>15</v>
      </c>
      <c r="F91" s="4">
        <v>15</v>
      </c>
      <c r="G91" s="2" t="s">
        <v>23</v>
      </c>
      <c r="H91" s="2" t="s">
        <v>15</v>
      </c>
      <c r="I91" s="4">
        <v>30</v>
      </c>
      <c r="J91" s="2" t="s">
        <v>15</v>
      </c>
      <c r="K91" s="4">
        <v>20</v>
      </c>
      <c r="L91" s="4">
        <v>5</v>
      </c>
      <c r="M91" s="4">
        <v>60</v>
      </c>
    </row>
    <row r="92" spans="1:13" x14ac:dyDescent="0.25">
      <c r="A92" s="2">
        <v>3499</v>
      </c>
      <c r="B92" s="2" t="s">
        <v>105</v>
      </c>
      <c r="C92" s="2" t="s">
        <v>14</v>
      </c>
      <c r="D92" s="3">
        <v>45616</v>
      </c>
      <c r="E92" s="2" t="s">
        <v>18</v>
      </c>
      <c r="F92" s="4">
        <v>15</v>
      </c>
      <c r="G92" s="2" t="s">
        <v>16</v>
      </c>
      <c r="H92" s="2" t="s">
        <v>15</v>
      </c>
      <c r="I92" s="4">
        <v>30</v>
      </c>
      <c r="J92" s="2" t="s">
        <v>15</v>
      </c>
      <c r="K92" s="4">
        <v>20</v>
      </c>
      <c r="L92" s="4">
        <v>3</v>
      </c>
      <c r="M92" s="4">
        <v>62</v>
      </c>
    </row>
    <row r="93" spans="1:13" ht="30" x14ac:dyDescent="0.25">
      <c r="A93" s="2">
        <v>3502</v>
      </c>
      <c r="B93" s="2" t="s">
        <v>106</v>
      </c>
      <c r="C93" s="2" t="s">
        <v>14</v>
      </c>
      <c r="D93" s="3">
        <v>45619</v>
      </c>
      <c r="E93" s="2" t="s">
        <v>15</v>
      </c>
      <c r="F93" s="4">
        <v>15</v>
      </c>
      <c r="G93" s="2" t="s">
        <v>20</v>
      </c>
      <c r="H93" s="2" t="s">
        <v>15</v>
      </c>
      <c r="I93" s="4">
        <v>30</v>
      </c>
      <c r="J93" s="2" t="s">
        <v>15</v>
      </c>
      <c r="K93" s="4">
        <v>20</v>
      </c>
      <c r="L93" s="4">
        <v>7</v>
      </c>
      <c r="M93" s="4">
        <v>58</v>
      </c>
    </row>
    <row r="94" spans="1:13" x14ac:dyDescent="0.25">
      <c r="A94" s="2">
        <v>3505</v>
      </c>
      <c r="B94" s="2" t="s">
        <v>107</v>
      </c>
      <c r="C94" s="2" t="s">
        <v>14</v>
      </c>
      <c r="D94" s="3">
        <v>45622</v>
      </c>
      <c r="E94" s="2" t="s">
        <v>18</v>
      </c>
      <c r="F94" s="4">
        <v>15</v>
      </c>
      <c r="G94" s="2" t="s">
        <v>16</v>
      </c>
      <c r="H94" s="2" t="s">
        <v>15</v>
      </c>
      <c r="I94" s="4">
        <v>30</v>
      </c>
      <c r="J94" s="2" t="s">
        <v>15</v>
      </c>
      <c r="K94" s="4">
        <v>20</v>
      </c>
      <c r="L94" s="4">
        <v>20</v>
      </c>
      <c r="M94" s="4">
        <v>45</v>
      </c>
    </row>
    <row r="95" spans="1:13" x14ac:dyDescent="0.25">
      <c r="A95" s="2">
        <v>3508</v>
      </c>
      <c r="B95" s="2" t="s">
        <v>108</v>
      </c>
      <c r="C95" s="2" t="s">
        <v>14</v>
      </c>
      <c r="D95" s="3">
        <v>45625</v>
      </c>
      <c r="E95" s="2" t="s">
        <v>15</v>
      </c>
      <c r="F95" s="4">
        <v>15</v>
      </c>
      <c r="G95" s="2" t="s">
        <v>23</v>
      </c>
      <c r="H95" s="2" t="s">
        <v>15</v>
      </c>
      <c r="I95" s="4">
        <v>30</v>
      </c>
      <c r="J95" s="2" t="s">
        <v>15</v>
      </c>
      <c r="K95" s="4">
        <v>20</v>
      </c>
      <c r="L95" s="4">
        <v>3</v>
      </c>
      <c r="M95" s="4">
        <v>62</v>
      </c>
    </row>
    <row r="96" spans="1:13" ht="30" x14ac:dyDescent="0.25">
      <c r="A96" s="2">
        <v>3511</v>
      </c>
      <c r="B96" s="2" t="s">
        <v>109</v>
      </c>
      <c r="C96" s="2" t="s">
        <v>14</v>
      </c>
      <c r="D96" s="3">
        <v>45628</v>
      </c>
      <c r="E96" s="2" t="s">
        <v>18</v>
      </c>
      <c r="F96" s="4">
        <v>15</v>
      </c>
      <c r="G96" s="2" t="s">
        <v>16</v>
      </c>
      <c r="H96" s="2" t="s">
        <v>15</v>
      </c>
      <c r="I96" s="4">
        <v>30</v>
      </c>
      <c r="J96" s="2" t="s">
        <v>15</v>
      </c>
      <c r="K96" s="4">
        <v>20</v>
      </c>
      <c r="L96" s="4">
        <v>15</v>
      </c>
      <c r="M96" s="4">
        <v>50</v>
      </c>
    </row>
    <row r="97" spans="1:13" x14ac:dyDescent="0.25">
      <c r="A97" s="2">
        <v>3514</v>
      </c>
      <c r="B97" s="2" t="s">
        <v>110</v>
      </c>
      <c r="C97" s="2" t="s">
        <v>14</v>
      </c>
      <c r="D97" s="3">
        <v>45631</v>
      </c>
      <c r="E97" s="2" t="s">
        <v>15</v>
      </c>
      <c r="F97" s="4">
        <v>15</v>
      </c>
      <c r="G97" s="2" t="s">
        <v>20</v>
      </c>
      <c r="H97" s="2" t="s">
        <v>15</v>
      </c>
      <c r="I97" s="4">
        <v>30</v>
      </c>
      <c r="J97" s="2" t="s">
        <v>15</v>
      </c>
      <c r="K97" s="4">
        <v>20</v>
      </c>
      <c r="L97" s="4">
        <v>7</v>
      </c>
      <c r="M97" s="4">
        <v>58</v>
      </c>
    </row>
    <row r="98" spans="1:13" ht="30" x14ac:dyDescent="0.25">
      <c r="A98" s="2">
        <v>3517</v>
      </c>
      <c r="B98" s="2" t="s">
        <v>111</v>
      </c>
      <c r="C98" s="2" t="s">
        <v>14</v>
      </c>
      <c r="D98" s="3">
        <v>45634</v>
      </c>
      <c r="E98" s="2" t="s">
        <v>18</v>
      </c>
      <c r="F98" s="4">
        <v>15</v>
      </c>
      <c r="G98" s="2" t="s">
        <v>16</v>
      </c>
      <c r="H98" s="2" t="s">
        <v>15</v>
      </c>
      <c r="I98" s="4">
        <v>30</v>
      </c>
      <c r="J98" s="2" t="s">
        <v>15</v>
      </c>
      <c r="K98" s="4">
        <v>20</v>
      </c>
      <c r="L98" s="4">
        <v>20</v>
      </c>
      <c r="M98" s="4">
        <v>45</v>
      </c>
    </row>
    <row r="99" spans="1:13" x14ac:dyDescent="0.25">
      <c r="A99" s="2">
        <v>3520</v>
      </c>
      <c r="B99" s="2" t="s">
        <v>112</v>
      </c>
      <c r="C99" s="2" t="s">
        <v>14</v>
      </c>
      <c r="D99" s="3">
        <v>45637</v>
      </c>
      <c r="E99" s="2" t="s">
        <v>15</v>
      </c>
      <c r="F99" s="4">
        <v>15</v>
      </c>
      <c r="G99" s="2" t="s">
        <v>23</v>
      </c>
      <c r="H99" s="2" t="s">
        <v>15</v>
      </c>
      <c r="I99" s="4">
        <v>30</v>
      </c>
      <c r="J99" s="2" t="s">
        <v>15</v>
      </c>
      <c r="K99" s="4">
        <v>20</v>
      </c>
      <c r="L99" s="4">
        <v>5</v>
      </c>
      <c r="M99" s="4">
        <v>60</v>
      </c>
    </row>
    <row r="100" spans="1:13" x14ac:dyDescent="0.25">
      <c r="A100" s="2">
        <v>3523</v>
      </c>
      <c r="B100" s="2" t="s">
        <v>113</v>
      </c>
      <c r="C100" s="2" t="s">
        <v>14</v>
      </c>
      <c r="D100" s="3">
        <v>45640</v>
      </c>
      <c r="E100" s="2" t="s">
        <v>18</v>
      </c>
      <c r="F100" s="4">
        <v>15</v>
      </c>
      <c r="G100" s="2" t="s">
        <v>16</v>
      </c>
      <c r="H100" s="2" t="s">
        <v>15</v>
      </c>
      <c r="I100" s="4">
        <v>30</v>
      </c>
      <c r="J100" s="2" t="s">
        <v>15</v>
      </c>
      <c r="K100" s="4">
        <v>20</v>
      </c>
      <c r="L100" s="4">
        <v>3</v>
      </c>
      <c r="M100" s="4">
        <v>62</v>
      </c>
    </row>
  </sheetData>
  <autoFilter ref="A1:M100" xr:uid="{FD9581BC-D2F3-44FD-8B8D-740427D74051}">
    <filterColumn colId="5">
      <customFilters>
        <customFilter operator="notEqual" val=" "/>
      </customFilters>
    </filterColumn>
  </autoFilter>
  <mergeCells count="12"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J1:J2"/>
    <mergeCell ref="K1:K2"/>
    <mergeCell ref="L1:L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4BE1-B960-4623-9E8E-38B090D9817A}">
  <dimension ref="A1:I44"/>
  <sheetViews>
    <sheetView topLeftCell="A16" workbookViewId="0">
      <selection activeCell="M22" sqref="M22"/>
    </sheetView>
  </sheetViews>
  <sheetFormatPr defaultRowHeight="15" x14ac:dyDescent="0.25"/>
  <cols>
    <col min="1" max="1" width="18" bestFit="1" customWidth="1"/>
    <col min="2" max="2" width="34.42578125" bestFit="1" customWidth="1"/>
    <col min="3" max="4" width="4" bestFit="1" customWidth="1"/>
    <col min="5" max="5" width="10.7109375" bestFit="1" customWidth="1"/>
    <col min="6" max="8" width="3" bestFit="1" customWidth="1"/>
    <col min="9" max="9" width="22.85546875" bestFit="1" customWidth="1"/>
    <col min="10" max="10" width="10.7109375" bestFit="1" customWidth="1"/>
  </cols>
  <sheetData>
    <row r="1" spans="1:2" x14ac:dyDescent="0.25">
      <c r="A1" t="s">
        <v>116</v>
      </c>
    </row>
    <row r="2" spans="1:2" x14ac:dyDescent="0.25">
      <c r="A2" t="s">
        <v>117</v>
      </c>
    </row>
    <row r="4" spans="1:2" x14ac:dyDescent="0.25">
      <c r="A4" s="5" t="s">
        <v>6</v>
      </c>
      <c r="B4" t="s">
        <v>23</v>
      </c>
    </row>
    <row r="6" spans="1:2" x14ac:dyDescent="0.25">
      <c r="A6" s="5" t="s">
        <v>114</v>
      </c>
      <c r="B6" t="s">
        <v>118</v>
      </c>
    </row>
    <row r="7" spans="1:2" x14ac:dyDescent="0.25">
      <c r="A7" s="6" t="s">
        <v>18</v>
      </c>
      <c r="B7" s="7">
        <v>122</v>
      </c>
    </row>
    <row r="8" spans="1:2" x14ac:dyDescent="0.25">
      <c r="A8" s="6" t="s">
        <v>15</v>
      </c>
      <c r="B8" s="7">
        <v>1064</v>
      </c>
    </row>
    <row r="9" spans="1:2" x14ac:dyDescent="0.25">
      <c r="A9" s="6" t="s">
        <v>115</v>
      </c>
      <c r="B9" s="7">
        <v>1186</v>
      </c>
    </row>
    <row r="26" spans="1:9" x14ac:dyDescent="0.25">
      <c r="A26" t="s">
        <v>120</v>
      </c>
    </row>
    <row r="28" spans="1:9" x14ac:dyDescent="0.25">
      <c r="A28" s="5" t="s">
        <v>6</v>
      </c>
      <c r="B28" t="s">
        <v>23</v>
      </c>
    </row>
    <row r="30" spans="1:9" x14ac:dyDescent="0.25">
      <c r="A30" s="5" t="s">
        <v>114</v>
      </c>
      <c r="B30" t="s">
        <v>121</v>
      </c>
    </row>
    <row r="31" spans="1:9" x14ac:dyDescent="0.25">
      <c r="A31" s="6" t="s">
        <v>14</v>
      </c>
      <c r="B31" s="14">
        <v>600</v>
      </c>
    </row>
    <row r="32" spans="1:9" ht="33.75" x14ac:dyDescent="0.5">
      <c r="A32" s="6" t="s">
        <v>115</v>
      </c>
      <c r="B32" s="14">
        <v>600</v>
      </c>
      <c r="I32" s="15">
        <f>GETPIVOTDATA("EA Play Season Pass2",$A$30)</f>
        <v>600</v>
      </c>
    </row>
    <row r="37" spans="1:9" x14ac:dyDescent="0.25">
      <c r="A37" t="s">
        <v>122</v>
      </c>
    </row>
    <row r="40" spans="1:9" x14ac:dyDescent="0.25">
      <c r="A40" s="5" t="s">
        <v>6</v>
      </c>
      <c r="B40" t="s">
        <v>23</v>
      </c>
    </row>
    <row r="42" spans="1:9" x14ac:dyDescent="0.25">
      <c r="A42" s="5" t="s">
        <v>114</v>
      </c>
      <c r="B42" t="s">
        <v>123</v>
      </c>
    </row>
    <row r="43" spans="1:9" x14ac:dyDescent="0.25">
      <c r="A43" s="6" t="s">
        <v>14</v>
      </c>
      <c r="B43" s="14">
        <v>400</v>
      </c>
    </row>
    <row r="44" spans="1:9" x14ac:dyDescent="0.25">
      <c r="A44" s="6" t="s">
        <v>115</v>
      </c>
      <c r="B44" s="14">
        <v>400</v>
      </c>
      <c r="I44" s="16">
        <f>GETPIVOTDATA("Minecraft Season Pass Price",$A$42)</f>
        <v>400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71FA-8237-4E94-9BEF-14BDAF94108D}">
  <dimension ref="A1:EL57"/>
  <sheetViews>
    <sheetView showGridLines="0" showRowColHeaders="0" tabSelected="1" zoomScaleNormal="100" workbookViewId="0">
      <selection activeCell="R13" sqref="R13"/>
    </sheetView>
  </sheetViews>
  <sheetFormatPr defaultRowHeight="15" x14ac:dyDescent="0.25"/>
  <cols>
    <col min="1" max="1" width="29" style="9" customWidth="1"/>
    <col min="2" max="2" width="2.5703125" style="8" customWidth="1"/>
    <col min="3" max="3" width="59.140625" bestFit="1" customWidth="1"/>
  </cols>
  <sheetData>
    <row r="1" spans="2:142" x14ac:dyDescent="0.25">
      <c r="B1" s="13"/>
    </row>
    <row r="2" spans="2:142" ht="20.25" thickBot="1" x14ac:dyDescent="0.35">
      <c r="B2" s="13"/>
      <c r="C2" s="10" t="s">
        <v>119</v>
      </c>
      <c r="D2" s="11"/>
      <c r="E2" s="11"/>
      <c r="F2" s="11"/>
      <c r="G2" s="11"/>
      <c r="H2" s="11"/>
      <c r="I2" s="11"/>
      <c r="J2" s="11"/>
      <c r="K2" s="17"/>
      <c r="L2" s="17"/>
    </row>
    <row r="3" spans="2:142" ht="15.75" thickTop="1" x14ac:dyDescent="0.25">
      <c r="B3" s="13"/>
    </row>
    <row r="4" spans="2:142" x14ac:dyDescent="0.25"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</row>
    <row r="5" spans="2:142" x14ac:dyDescent="0.25">
      <c r="C5" s="8" t="s">
        <v>124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</row>
    <row r="6" spans="2:142" x14ac:dyDescent="0.25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</row>
    <row r="7" spans="2:142" x14ac:dyDescent="0.25"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</row>
    <row r="8" spans="2:142" x14ac:dyDescent="0.25"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</row>
    <row r="9" spans="2:142" x14ac:dyDescent="0.25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</row>
    <row r="10" spans="2:142" x14ac:dyDescent="0.25"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</row>
    <row r="11" spans="2:142" x14ac:dyDescent="0.25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</row>
    <row r="12" spans="2:142" x14ac:dyDescent="0.25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</row>
    <row r="13" spans="2:142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</row>
    <row r="14" spans="2:142" x14ac:dyDescent="0.25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</row>
    <row r="15" spans="2:142" x14ac:dyDescent="0.25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</row>
    <row r="16" spans="2:142" x14ac:dyDescent="0.25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</row>
    <row r="17" spans="3:142" x14ac:dyDescent="0.25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</row>
    <row r="18" spans="3:142" x14ac:dyDescent="0.25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</row>
    <row r="19" spans="3:142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</row>
    <row r="20" spans="3:142" x14ac:dyDescent="0.25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</row>
    <row r="21" spans="3:142" x14ac:dyDescent="0.25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</row>
    <row r="22" spans="3:142" x14ac:dyDescent="0.25"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</row>
    <row r="23" spans="3:142" x14ac:dyDescent="0.25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</row>
    <row r="24" spans="3:142" x14ac:dyDescent="0.25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</row>
    <row r="25" spans="3:142" x14ac:dyDescent="0.25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</row>
    <row r="26" spans="3:142" x14ac:dyDescent="0.25"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</row>
    <row r="27" spans="3:142" x14ac:dyDescent="0.25"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</row>
    <row r="28" spans="3:142" x14ac:dyDescent="0.25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</row>
    <row r="29" spans="3:142" x14ac:dyDescent="0.25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</row>
    <row r="30" spans="3:142" x14ac:dyDescent="0.25"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</row>
    <row r="31" spans="3:142" x14ac:dyDescent="0.25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</row>
    <row r="32" spans="3:142" x14ac:dyDescent="0.25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</row>
    <row r="33" spans="3:142" x14ac:dyDescent="0.25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</row>
    <row r="34" spans="3:142" x14ac:dyDescent="0.25"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</row>
    <row r="35" spans="3:142" x14ac:dyDescent="0.25"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</row>
    <row r="36" spans="3:142" x14ac:dyDescent="0.25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</row>
    <row r="37" spans="3:142" x14ac:dyDescent="0.25"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</row>
    <row r="38" spans="3:142" x14ac:dyDescent="0.25"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</row>
    <row r="39" spans="3:142" x14ac:dyDescent="0.25"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</row>
    <row r="40" spans="3:142" x14ac:dyDescent="0.25"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</row>
    <row r="41" spans="3:142" x14ac:dyDescent="0.25"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</row>
    <row r="42" spans="3:142" x14ac:dyDescent="0.25"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</row>
    <row r="43" spans="3:142" x14ac:dyDescent="0.25"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</row>
    <row r="44" spans="3:142" x14ac:dyDescent="0.25"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</row>
    <row r="45" spans="3:142" x14ac:dyDescent="0.25"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</row>
    <row r="46" spans="3:142" x14ac:dyDescent="0.25"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</row>
    <row r="47" spans="3:142" x14ac:dyDescent="0.25"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</row>
    <row r="48" spans="3:142" x14ac:dyDescent="0.25"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</row>
    <row r="49" spans="3:66" x14ac:dyDescent="0.25"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</row>
    <row r="50" spans="3:66" x14ac:dyDescent="0.25"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</row>
    <row r="51" spans="3:66" x14ac:dyDescent="0.25"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</row>
    <row r="52" spans="3:66" x14ac:dyDescent="0.25"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</row>
    <row r="53" spans="3:66" x14ac:dyDescent="0.25"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</row>
    <row r="54" spans="3:66" x14ac:dyDescent="0.25"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</row>
    <row r="55" spans="3:66" x14ac:dyDescent="0.25"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</row>
    <row r="56" spans="3:66" x14ac:dyDescent="0.25"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</row>
    <row r="57" spans="3:66" x14ac:dyDescent="0.25"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Base</vt:lpstr>
      <vt:lpstr>Calculo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Silva</dc:creator>
  <cp:lastModifiedBy>Diogo Silva</cp:lastModifiedBy>
  <dcterms:created xsi:type="dcterms:W3CDTF">2026-10-16T00:12:53Z</dcterms:created>
  <dcterms:modified xsi:type="dcterms:W3CDTF">2026-10-16T15:22:21Z</dcterms:modified>
</cp:coreProperties>
</file>